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参数" sheetId="1" state="visible" r:id="rId1"/>
    <sheet xmlns:r="http://schemas.openxmlformats.org/officeDocument/2006/relationships" name="初始投资" sheetId="2" state="visible" r:id="rId2"/>
    <sheet xmlns:r="http://schemas.openxmlformats.org/officeDocument/2006/relationships" name="运营成本" sheetId="3" state="visible" r:id="rId3"/>
    <sheet xmlns:r="http://schemas.openxmlformats.org/officeDocument/2006/relationships" name="收入预测" sheetId="4" state="visible" r:id="rId4"/>
    <sheet xmlns:r="http://schemas.openxmlformats.org/officeDocument/2006/relationships" name="5年现金流" sheetId="5" state="visible" r:id="rId5"/>
    <sheet xmlns:r="http://schemas.openxmlformats.org/officeDocument/2006/relationships" name="投资回报" sheetId="6" state="visible" r:id="rId6"/>
    <sheet xmlns:r="http://schemas.openxmlformats.org/officeDocument/2006/relationships" name="敏感性分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6" customWidth="1" min="4" max="4"/>
    <col width="12" customWidth="1" min="5" max="5"/>
  </cols>
  <sheetData>
    <row r="1">
      <c r="A1" s="1" t="inlineStr">
        <is>
          <t>工作表1：基础参数设置</t>
        </is>
      </c>
    </row>
    <row r="2">
      <c r="A2" s="2" t="inlineStr">
        <is>
          <t>参数类别</t>
        </is>
      </c>
      <c r="B2" s="2" t="inlineStr">
        <is>
          <t>参数名称</t>
        </is>
      </c>
      <c r="C2" s="2" t="inlineStr">
        <is>
          <t>数值</t>
        </is>
      </c>
      <c r="D2" s="2" t="inlineStr">
        <is>
          <t>单位</t>
        </is>
      </c>
      <c r="E2" s="2" t="inlineStr">
        <is>
          <t>备注</t>
        </is>
      </c>
    </row>
    <row r="3">
      <c r="A3" s="2" t="inlineStr">
        <is>
          <t>房间配置</t>
        </is>
      </c>
      <c r="B3" s="2" t="inlineStr">
        <is>
          <t>29平标准间数量</t>
        </is>
      </c>
      <c r="C3" s="2" t="inlineStr">
        <is>
          <t>4</t>
        </is>
      </c>
      <c r="D3" s="2" t="inlineStr">
        <is>
          <t>间</t>
        </is>
      </c>
      <c r="E3" s="2" t="inlineStr"/>
    </row>
    <row r="4">
      <c r="A4" s="2" t="inlineStr">
        <is>
          <t>房间配置</t>
        </is>
      </c>
      <c r="B4" s="2" t="inlineStr">
        <is>
          <t>48平套房数量</t>
        </is>
      </c>
      <c r="C4" s="2" t="inlineStr">
        <is>
          <t>4</t>
        </is>
      </c>
      <c r="D4" s="2" t="inlineStr">
        <is>
          <t>间</t>
        </is>
      </c>
      <c r="E4" s="2" t="inlineStr"/>
    </row>
    <row r="5">
      <c r="A5" s="2" t="inlineStr">
        <is>
          <t>房间配置</t>
        </is>
      </c>
      <c r="B5" s="2" t="inlineStr">
        <is>
          <t>总房间数</t>
        </is>
      </c>
      <c r="C5" s="2" t="inlineStr">
        <is>
          <t>8</t>
        </is>
      </c>
      <c r="D5" s="2" t="inlineStr">
        <is>
          <t>间</t>
        </is>
      </c>
      <c r="E5" s="2">
        <f>SUM(上两行)</f>
        <v/>
      </c>
    </row>
    <row r="6">
      <c r="A6" s="2" t="inlineStr">
        <is>
          <t>初始投资</t>
        </is>
      </c>
      <c r="B6" s="2" t="inlineStr">
        <is>
          <t>物业购买成本</t>
        </is>
      </c>
      <c r="C6" s="2" t="inlineStr">
        <is>
          <t>3500000</t>
        </is>
      </c>
      <c r="D6" s="2" t="inlineStr">
        <is>
          <t>元</t>
        </is>
      </c>
      <c r="E6" s="2" t="inlineStr"/>
    </row>
    <row r="7">
      <c r="A7" s="2" t="inlineStr">
        <is>
          <t>初始投资</t>
        </is>
      </c>
      <c r="B7" s="2" t="inlineStr">
        <is>
          <t>装修成本</t>
        </is>
      </c>
      <c r="C7" s="2" t="inlineStr">
        <is>
          <t>2680000</t>
        </is>
      </c>
      <c r="D7" s="2" t="inlineStr">
        <is>
          <t>元</t>
        </is>
      </c>
      <c r="E7" s="2" t="inlineStr"/>
    </row>
    <row r="8">
      <c r="A8" s="2" t="inlineStr">
        <is>
          <t>初始投资</t>
        </is>
      </c>
      <c r="B8" s="2" t="inlineStr">
        <is>
          <t>温泉系统</t>
        </is>
      </c>
      <c r="C8" s="2" t="inlineStr">
        <is>
          <t>550000</t>
        </is>
      </c>
      <c r="D8" s="2" t="inlineStr">
        <is>
          <t>元</t>
        </is>
      </c>
      <c r="E8" s="2" t="inlineStr"/>
    </row>
    <row r="9">
      <c r="A9" s="2" t="inlineStr">
        <is>
          <t>初始投资</t>
        </is>
      </c>
      <c r="B9" s="2" t="inlineStr">
        <is>
          <t>设备设施</t>
        </is>
      </c>
      <c r="C9" s="2" t="inlineStr">
        <is>
          <t>1296000</t>
        </is>
      </c>
      <c r="D9" s="2" t="inlineStr">
        <is>
          <t>元</t>
        </is>
      </c>
      <c r="E9" s="2" t="inlineStr"/>
    </row>
    <row r="10">
      <c r="A10" s="2" t="inlineStr">
        <is>
          <t>初始投资</t>
        </is>
      </c>
      <c r="B10" s="2" t="inlineStr">
        <is>
          <t>前期费用</t>
        </is>
      </c>
      <c r="C10" s="2" t="inlineStr">
        <is>
          <t>580000</t>
        </is>
      </c>
      <c r="D10" s="2" t="inlineStr">
        <is>
          <t>元</t>
        </is>
      </c>
      <c r="E10" s="2" t="inlineStr"/>
    </row>
    <row r="11">
      <c r="A11" s="2" t="inlineStr">
        <is>
          <t>初始投资</t>
        </is>
      </c>
      <c r="B11" s="2" t="inlineStr">
        <is>
          <t>初始投资总计</t>
        </is>
      </c>
      <c r="C11" s="2" t="inlineStr">
        <is>
          <t>8606000</t>
        </is>
      </c>
      <c r="D11" s="2" t="inlineStr">
        <is>
          <t>元</t>
        </is>
      </c>
      <c r="E11" s="2">
        <f>SUM(上5行)</f>
        <v/>
      </c>
    </row>
    <row r="12">
      <c r="A12" s="2" t="inlineStr">
        <is>
          <t>定价-淡季</t>
        </is>
      </c>
      <c r="B12" s="2" t="inlineStr">
        <is>
          <t>标准间淡季价</t>
        </is>
      </c>
      <c r="C12" s="2" t="inlineStr">
        <is>
          <t>580</t>
        </is>
      </c>
      <c r="D12" s="2" t="inlineStr">
        <is>
          <t>元/间夜</t>
        </is>
      </c>
      <c r="E12" s="2" t="inlineStr"/>
    </row>
    <row r="13">
      <c r="A13" s="2" t="inlineStr">
        <is>
          <t>定价-淡季</t>
        </is>
      </c>
      <c r="B13" s="2" t="inlineStr">
        <is>
          <t>套房淡季价</t>
        </is>
      </c>
      <c r="C13" s="2" t="inlineStr">
        <is>
          <t>880</t>
        </is>
      </c>
      <c r="D13" s="2" t="inlineStr">
        <is>
          <t>元/间夜</t>
        </is>
      </c>
      <c r="E13" s="2" t="inlineStr"/>
    </row>
    <row r="14">
      <c r="A14" s="2" t="inlineStr">
        <is>
          <t>定价-平季</t>
        </is>
      </c>
      <c r="B14" s="2" t="inlineStr">
        <is>
          <t>标准间平季价</t>
        </is>
      </c>
      <c r="C14" s="2" t="inlineStr">
        <is>
          <t>780</t>
        </is>
      </c>
      <c r="D14" s="2" t="inlineStr">
        <is>
          <t>元/间夜</t>
        </is>
      </c>
      <c r="E14" s="2" t="inlineStr"/>
    </row>
    <row r="15">
      <c r="A15" s="2" t="inlineStr">
        <is>
          <t>定价-平季</t>
        </is>
      </c>
      <c r="B15" s="2" t="inlineStr">
        <is>
          <t>套房平季价</t>
        </is>
      </c>
      <c r="C15" s="2" t="inlineStr">
        <is>
          <t>1180</t>
        </is>
      </c>
      <c r="D15" s="2" t="inlineStr">
        <is>
          <t>元/间夜</t>
        </is>
      </c>
      <c r="E15" s="2" t="inlineStr"/>
    </row>
    <row r="16">
      <c r="A16" s="2" t="inlineStr">
        <is>
          <t>定价-旺季</t>
        </is>
      </c>
      <c r="B16" s="2" t="inlineStr">
        <is>
          <t>标准间旺季价</t>
        </is>
      </c>
      <c r="C16" s="2" t="inlineStr">
        <is>
          <t>1280</t>
        </is>
      </c>
      <c r="D16" s="2" t="inlineStr">
        <is>
          <t>元/间夜</t>
        </is>
      </c>
      <c r="E16" s="2" t="inlineStr"/>
    </row>
    <row r="17">
      <c r="A17" s="2" t="inlineStr">
        <is>
          <t>定价-旺季</t>
        </is>
      </c>
      <c r="B17" s="2" t="inlineStr">
        <is>
          <t>套房旺季价</t>
        </is>
      </c>
      <c r="C17" s="2" t="inlineStr">
        <is>
          <t>1880</t>
        </is>
      </c>
      <c r="D17" s="2" t="inlineStr">
        <is>
          <t>元/间夜</t>
        </is>
      </c>
      <c r="E17" s="2" t="inlineStr"/>
    </row>
    <row r="18">
      <c r="A18" s="2" t="inlineStr">
        <is>
          <t>入住率</t>
        </is>
      </c>
      <c r="B18" s="2" t="inlineStr">
        <is>
          <t>淡季入住率</t>
        </is>
      </c>
      <c r="C18" s="2" t="inlineStr">
        <is>
          <t>35%</t>
        </is>
      </c>
      <c r="D18" s="2" t="inlineStr"/>
      <c r="E18" s="2" t="inlineStr"/>
    </row>
    <row r="19">
      <c r="A19" s="2" t="inlineStr">
        <is>
          <t>入住率</t>
        </is>
      </c>
      <c r="B19" s="2" t="inlineStr">
        <is>
          <t>平季入住率</t>
        </is>
      </c>
      <c r="C19" s="2" t="inlineStr">
        <is>
          <t>55%</t>
        </is>
      </c>
      <c r="D19" s="2" t="inlineStr"/>
      <c r="E19" s="2" t="inlineStr"/>
    </row>
    <row r="20">
      <c r="A20" s="2" t="inlineStr">
        <is>
          <t>入住率</t>
        </is>
      </c>
      <c r="B20" s="2" t="inlineStr">
        <is>
          <t>旺季入住率</t>
        </is>
      </c>
      <c r="C20" s="2" t="inlineStr">
        <is>
          <t>75%</t>
        </is>
      </c>
      <c r="D20" s="2" t="inlineStr"/>
      <c r="E20" s="2" t="inlineStr"/>
    </row>
    <row r="21">
      <c r="A21" s="2" t="inlineStr">
        <is>
          <t>季节分布</t>
        </is>
      </c>
      <c r="B21" s="2" t="inlineStr">
        <is>
          <t>淡季月数</t>
        </is>
      </c>
      <c r="C21" s="2" t="inlineStr">
        <is>
          <t>2</t>
        </is>
      </c>
      <c r="D21" s="2" t="inlineStr">
        <is>
          <t>月</t>
        </is>
      </c>
      <c r="E21" s="2" t="inlineStr">
        <is>
          <t>12-3月中的2个月</t>
        </is>
      </c>
    </row>
    <row r="22">
      <c r="A22" s="2" t="inlineStr">
        <is>
          <t>季节分布</t>
        </is>
      </c>
      <c r="B22" s="2" t="inlineStr">
        <is>
          <t>平季月数</t>
        </is>
      </c>
      <c r="C22" s="2" t="inlineStr">
        <is>
          <t>6</t>
        </is>
      </c>
      <c r="D22" s="2" t="inlineStr">
        <is>
          <t>月</t>
        </is>
      </c>
      <c r="E22" s="2" t="inlineStr">
        <is>
          <t>4-6月、9-11月</t>
        </is>
      </c>
    </row>
    <row r="23">
      <c r="A23" s="2" t="inlineStr">
        <is>
          <t>季节分布</t>
        </is>
      </c>
      <c r="B23" s="2" t="inlineStr">
        <is>
          <t>旺季月数</t>
        </is>
      </c>
      <c r="C23" s="2" t="inlineStr">
        <is>
          <t>4</t>
        </is>
      </c>
      <c r="D23" s="2" t="inlineStr">
        <is>
          <t>月</t>
        </is>
      </c>
      <c r="E23" s="2" t="inlineStr">
        <is>
          <t>7-8月、春节、国庆</t>
        </is>
      </c>
    </row>
    <row r="24">
      <c r="A24" s="2" t="inlineStr">
        <is>
          <t>附加收入比例</t>
        </is>
      </c>
      <c r="B24" s="2" t="inlineStr">
        <is>
          <t>餐饮收入占比</t>
        </is>
      </c>
      <c r="C24" s="2" t="inlineStr">
        <is>
          <t>30%</t>
        </is>
      </c>
      <c r="D24" s="2" t="inlineStr"/>
      <c r="E24" s="2" t="inlineStr">
        <is>
          <t>占客房收入</t>
        </is>
      </c>
    </row>
    <row r="25">
      <c r="A25" s="2" t="inlineStr">
        <is>
          <t>附加收入比例</t>
        </is>
      </c>
      <c r="B25" s="2" t="inlineStr">
        <is>
          <t>雪茄吧/水吧占比</t>
        </is>
      </c>
      <c r="C25" s="2" t="inlineStr">
        <is>
          <t>15%</t>
        </is>
      </c>
      <c r="D25" s="2" t="inlineStr"/>
      <c r="E25" s="2" t="inlineStr">
        <is>
          <t>占客房收入</t>
        </is>
      </c>
    </row>
    <row r="26">
      <c r="A26" s="2" t="inlineStr">
        <is>
          <t>附加收入比例</t>
        </is>
      </c>
      <c r="B26" s="2" t="inlineStr">
        <is>
          <t>桑拿/按摩占比</t>
        </is>
      </c>
      <c r="C26" s="2" t="inlineStr">
        <is>
          <t>10%</t>
        </is>
      </c>
      <c r="D26" s="2" t="inlineStr"/>
      <c r="E26" s="2" t="inlineStr">
        <is>
          <t>占客房收入</t>
        </is>
      </c>
    </row>
    <row r="27">
      <c r="A27" s="2" t="inlineStr">
        <is>
          <t>附加收入比例</t>
        </is>
      </c>
      <c r="B27" s="2" t="inlineStr">
        <is>
          <t>麻将房占比</t>
        </is>
      </c>
      <c r="C27" s="2" t="inlineStr">
        <is>
          <t>5%</t>
        </is>
      </c>
      <c r="D27" s="2" t="inlineStr"/>
      <c r="E27" s="2" t="inlineStr">
        <is>
          <t>占客房收入</t>
        </is>
      </c>
    </row>
    <row r="28">
      <c r="A28" s="2" t="inlineStr">
        <is>
          <t>年度增长率</t>
        </is>
      </c>
      <c r="B28" s="2" t="inlineStr">
        <is>
          <t>第2年增长率</t>
        </is>
      </c>
      <c r="C28" s="2" t="inlineStr">
        <is>
          <t>0%</t>
        </is>
      </c>
      <c r="D28" s="2" t="inlineStr"/>
      <c r="E28" s="2" t="inlineStr">
        <is>
          <t>稳定期</t>
        </is>
      </c>
    </row>
    <row r="29">
      <c r="A29" s="2" t="inlineStr">
        <is>
          <t>年度增长率</t>
        </is>
      </c>
      <c r="B29" s="2" t="inlineStr">
        <is>
          <t>第3年增长率</t>
        </is>
      </c>
      <c r="C29" s="2" t="inlineStr">
        <is>
          <t>10%</t>
        </is>
      </c>
      <c r="D29" s="2" t="inlineStr"/>
      <c r="E29" s="2" t="inlineStr">
        <is>
          <t>口碑期</t>
        </is>
      </c>
    </row>
    <row r="30">
      <c r="A30" s="2" t="inlineStr">
        <is>
          <t>年度增长率</t>
        </is>
      </c>
      <c r="B30" s="2" t="inlineStr">
        <is>
          <t>第4年增长率</t>
        </is>
      </c>
      <c r="C30" s="2" t="inlineStr">
        <is>
          <t>10%</t>
        </is>
      </c>
      <c r="D30" s="2" t="inlineStr"/>
      <c r="E30" s="2" t="inlineStr">
        <is>
          <t>成熟期</t>
        </is>
      </c>
    </row>
    <row r="31">
      <c r="A31" s="2" t="inlineStr">
        <is>
          <t>年度增长率</t>
        </is>
      </c>
      <c r="B31" s="2" t="inlineStr">
        <is>
          <t>第5年增长率</t>
        </is>
      </c>
      <c r="C31" s="2" t="inlineStr">
        <is>
          <t>8%</t>
        </is>
      </c>
      <c r="D31" s="2" t="inlineStr"/>
      <c r="E31" s="2" t="inlineStr">
        <is>
          <t>平稳期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5" customWidth="1" min="4" max="4"/>
    <col width="4" customWidth="1" min="5" max="5"/>
    <col width="9" customWidth="1" min="6" max="6"/>
    <col width="18" customWidth="1" min="7" max="7"/>
  </cols>
  <sheetData>
    <row r="1">
      <c r="A1" s="1" t="inlineStr">
        <is>
          <t>工作表2：初始投资明细</t>
        </is>
      </c>
    </row>
    <row r="2">
      <c r="A2" s="2" t="inlineStr">
        <is>
          <t>类别</t>
        </is>
      </c>
      <c r="B2" s="2" t="inlineStr">
        <is>
          <t>项目</t>
        </is>
      </c>
      <c r="C2" s="2" t="inlineStr">
        <is>
          <t>单价</t>
        </is>
      </c>
      <c r="D2" s="2" t="inlineStr">
        <is>
          <t>数量</t>
        </is>
      </c>
      <c r="E2" s="2" t="inlineStr">
        <is>
          <t>单位</t>
        </is>
      </c>
      <c r="F2" s="2" t="inlineStr">
        <is>
          <t>金额(元)</t>
        </is>
      </c>
      <c r="G2" s="2" t="inlineStr">
        <is>
          <t>备注</t>
        </is>
      </c>
    </row>
    <row r="3">
      <c r="A3" s="2" t="inlineStr">
        <is>
          <t>物业成本</t>
        </is>
      </c>
      <c r="B3" s="2" t="inlineStr">
        <is>
          <t>物业购买（带框架）</t>
        </is>
      </c>
      <c r="C3" s="2" t="inlineStr">
        <is>
          <t>3500000</t>
        </is>
      </c>
      <c r="D3" s="2" t="inlineStr">
        <is>
          <t>1</t>
        </is>
      </c>
      <c r="E3" s="2" t="inlineStr">
        <is>
          <t>套</t>
        </is>
      </c>
      <c r="F3" s="2" t="inlineStr">
        <is>
          <t>3500000</t>
        </is>
      </c>
      <c r="G3" s="2" t="inlineStr"/>
    </row>
    <row r="4">
      <c r="A4" s="2" t="inlineStr">
        <is>
          <t>装修成本</t>
        </is>
      </c>
      <c r="B4" s="2" t="inlineStr">
        <is>
          <t>客房装修（308平）</t>
        </is>
      </c>
      <c r="C4" s="2" t="inlineStr">
        <is>
          <t>3500</t>
        </is>
      </c>
      <c r="D4" s="2" t="inlineStr">
        <is>
          <t>308</t>
        </is>
      </c>
      <c r="E4" s="2" t="inlineStr">
        <is>
          <t>平米</t>
        </is>
      </c>
      <c r="F4" s="2" t="inlineStr">
        <is>
          <t>1078000</t>
        </is>
      </c>
      <c r="G4" s="2" t="inlineStr">
        <is>
          <t>29平×4+48平×4</t>
        </is>
      </c>
    </row>
    <row r="5">
      <c r="A5" s="2" t="inlineStr">
        <is>
          <t>装修成本</t>
        </is>
      </c>
      <c r="B5" s="2" t="inlineStr">
        <is>
          <t>地下室装修（300平）</t>
        </is>
      </c>
      <c r="C5" s="2" t="inlineStr">
        <is>
          <t>4000</t>
        </is>
      </c>
      <c r="D5" s="2" t="inlineStr">
        <is>
          <t>300</t>
        </is>
      </c>
      <c r="E5" s="2" t="inlineStr">
        <is>
          <t>平米</t>
        </is>
      </c>
      <c r="F5" s="2" t="inlineStr">
        <is>
          <t>1200000</t>
        </is>
      </c>
      <c r="G5" s="2" t="inlineStr">
        <is>
          <t>水吧/雪茄吧/桑拿/餐厅/麻将房</t>
        </is>
      </c>
    </row>
    <row r="6">
      <c r="A6" s="2" t="inlineStr">
        <is>
          <t>装修成本</t>
        </is>
      </c>
      <c r="B6" s="2" t="inlineStr">
        <is>
          <t>室外景观及泡池（80平）</t>
        </is>
      </c>
      <c r="C6" s="2" t="inlineStr">
        <is>
          <t>5000</t>
        </is>
      </c>
      <c r="D6" s="2" t="inlineStr">
        <is>
          <t>80</t>
        </is>
      </c>
      <c r="E6" s="2" t="inlineStr">
        <is>
          <t>平米</t>
        </is>
      </c>
      <c r="F6" s="2" t="inlineStr">
        <is>
          <t>400000</t>
        </is>
      </c>
      <c r="G6" s="2" t="inlineStr"/>
    </row>
    <row r="7">
      <c r="A7" s="2" t="inlineStr">
        <is>
          <t>装修成本</t>
        </is>
      </c>
      <c r="B7" s="2" t="inlineStr">
        <is>
          <t>装修小计</t>
        </is>
      </c>
      <c r="C7" s="2" t="inlineStr"/>
      <c r="D7" s="2" t="inlineStr"/>
      <c r="E7" s="2" t="inlineStr"/>
      <c r="F7" s="2" t="inlineStr">
        <is>
          <t>2678000</t>
        </is>
      </c>
      <c r="G7" s="2" t="inlineStr"/>
    </row>
    <row r="8">
      <c r="A8" s="2" t="inlineStr">
        <is>
          <t>温泉系统</t>
        </is>
      </c>
      <c r="B8" s="2" t="inlineStr">
        <is>
          <t>保温拉水车</t>
        </is>
      </c>
      <c r="C8" s="2" t="inlineStr">
        <is>
          <t>200000</t>
        </is>
      </c>
      <c r="D8" s="2" t="inlineStr">
        <is>
          <t>1</t>
        </is>
      </c>
      <c r="E8" s="2" t="inlineStr">
        <is>
          <t>辆</t>
        </is>
      </c>
      <c r="F8" s="2" t="inlineStr">
        <is>
          <t>200000</t>
        </is>
      </c>
      <c r="G8" s="2" t="inlineStr">
        <is>
          <t>湖北随州产</t>
        </is>
      </c>
    </row>
    <row r="9">
      <c r="A9" s="2" t="inlineStr">
        <is>
          <t>温泉系统</t>
        </is>
      </c>
      <c r="B9" s="2" t="inlineStr">
        <is>
          <t>保温桶（4-5吨带电加热）</t>
        </is>
      </c>
      <c r="C9" s="2" t="inlineStr">
        <is>
          <t>30000</t>
        </is>
      </c>
      <c r="D9" s="2" t="inlineStr">
        <is>
          <t>4</t>
        </is>
      </c>
      <c r="E9" s="2" t="inlineStr">
        <is>
          <t>个</t>
        </is>
      </c>
      <c r="F9" s="2" t="inlineStr">
        <is>
          <t>120000</t>
        </is>
      </c>
      <c r="G9" s="2" t="inlineStr"/>
    </row>
    <row r="10">
      <c r="A10" s="2" t="inlineStr">
        <is>
          <t>温泉系统</t>
        </is>
      </c>
      <c r="B10" s="2" t="inlineStr">
        <is>
          <t>循环水处理系统</t>
        </is>
      </c>
      <c r="C10" s="2" t="inlineStr">
        <is>
          <t>150000</t>
        </is>
      </c>
      <c r="D10" s="2" t="inlineStr">
        <is>
          <t>1</t>
        </is>
      </c>
      <c r="E10" s="2" t="inlineStr">
        <is>
          <t>套</t>
        </is>
      </c>
      <c r="F10" s="2" t="inlineStr">
        <is>
          <t>150000</t>
        </is>
      </c>
      <c r="G10" s="2" t="inlineStr"/>
    </row>
    <row r="11">
      <c r="A11" s="2" t="inlineStr">
        <is>
          <t>温泉系统</t>
        </is>
      </c>
      <c r="B11" s="2" t="inlineStr">
        <is>
          <t>管道及安装工程</t>
        </is>
      </c>
      <c r="C11" s="2" t="inlineStr">
        <is>
          <t>80000</t>
        </is>
      </c>
      <c r="D11" s="2" t="inlineStr">
        <is>
          <t>1</t>
        </is>
      </c>
      <c r="E11" s="2" t="inlineStr">
        <is>
          <t>套</t>
        </is>
      </c>
      <c r="F11" s="2" t="inlineStr">
        <is>
          <t>80000</t>
        </is>
      </c>
      <c r="G11" s="2" t="inlineStr"/>
    </row>
    <row r="12">
      <c r="A12" s="2" t="inlineStr">
        <is>
          <t>温泉系统</t>
        </is>
      </c>
      <c r="B12" s="2" t="inlineStr">
        <is>
          <t>温泉系统小计</t>
        </is>
      </c>
      <c r="C12" s="2" t="inlineStr"/>
      <c r="D12" s="2" t="inlineStr"/>
      <c r="E12" s="2" t="inlineStr"/>
      <c r="F12" s="2" t="inlineStr">
        <is>
          <t>550000</t>
        </is>
      </c>
      <c r="G12" s="2" t="inlineStr"/>
    </row>
    <row r="13">
      <c r="A13" s="2" t="inlineStr">
        <is>
          <t>设备设施</t>
        </is>
      </c>
      <c r="B13" s="2" t="inlineStr">
        <is>
          <t>地暖系统</t>
        </is>
      </c>
      <c r="C13" s="2" t="inlineStr">
        <is>
          <t>300</t>
        </is>
      </c>
      <c r="D13" s="2" t="inlineStr">
        <is>
          <t>308</t>
        </is>
      </c>
      <c r="E13" s="2" t="inlineStr">
        <is>
          <t>平米</t>
        </is>
      </c>
      <c r="F13" s="2" t="inlineStr">
        <is>
          <t>92400</t>
        </is>
      </c>
      <c r="G13" s="2" t="inlineStr"/>
    </row>
    <row r="14">
      <c r="A14" s="2" t="inlineStr">
        <is>
          <t>设备设施</t>
        </is>
      </c>
      <c r="B14" s="2" t="inlineStr">
        <is>
          <t>中央空调</t>
        </is>
      </c>
      <c r="C14" s="2" t="inlineStr">
        <is>
          <t>500</t>
        </is>
      </c>
      <c r="D14" s="2" t="inlineStr">
        <is>
          <t>308</t>
        </is>
      </c>
      <c r="E14" s="2" t="inlineStr">
        <is>
          <t>平米</t>
        </is>
      </c>
      <c r="F14" s="2" t="inlineStr">
        <is>
          <t>154000</t>
        </is>
      </c>
      <c r="G14" s="2" t="inlineStr"/>
    </row>
    <row r="15">
      <c r="A15" s="2" t="inlineStr">
        <is>
          <t>设备设施</t>
        </is>
      </c>
      <c r="B15" s="2" t="inlineStr">
        <is>
          <t>家具软装（高端）</t>
        </is>
      </c>
      <c r="C15" s="2" t="inlineStr">
        <is>
          <t>500000</t>
        </is>
      </c>
      <c r="D15" s="2" t="inlineStr">
        <is>
          <t>1</t>
        </is>
      </c>
      <c r="E15" s="2" t="inlineStr">
        <is>
          <t>套</t>
        </is>
      </c>
      <c r="F15" s="2" t="inlineStr">
        <is>
          <t>500000</t>
        </is>
      </c>
      <c r="G15" s="2" t="inlineStr"/>
    </row>
    <row r="16">
      <c r="A16" s="2" t="inlineStr">
        <is>
          <t>设备设施</t>
        </is>
      </c>
      <c r="B16" s="2" t="inlineStr">
        <is>
          <t>厨房设备</t>
        </is>
      </c>
      <c r="C16" s="2" t="inlineStr">
        <is>
          <t>150000</t>
        </is>
      </c>
      <c r="D16" s="2" t="inlineStr">
        <is>
          <t>1</t>
        </is>
      </c>
      <c r="E16" s="2" t="inlineStr">
        <is>
          <t>套</t>
        </is>
      </c>
      <c r="F16" s="2" t="inlineStr">
        <is>
          <t>150000</t>
        </is>
      </c>
      <c r="G16" s="2" t="inlineStr"/>
    </row>
    <row r="17">
      <c r="A17" s="2" t="inlineStr">
        <is>
          <t>设备设施</t>
        </is>
      </c>
      <c r="B17" s="2" t="inlineStr">
        <is>
          <t>雪茄吧/水吧设备</t>
        </is>
      </c>
      <c r="C17" s="2" t="inlineStr">
        <is>
          <t>200000</t>
        </is>
      </c>
      <c r="D17" s="2" t="inlineStr">
        <is>
          <t>1</t>
        </is>
      </c>
      <c r="E17" s="2" t="inlineStr">
        <is>
          <t>套</t>
        </is>
      </c>
      <c r="F17" s="2" t="inlineStr">
        <is>
          <t>200000</t>
        </is>
      </c>
      <c r="G17" s="2" t="inlineStr"/>
    </row>
    <row r="18">
      <c r="A18" s="2" t="inlineStr">
        <is>
          <t>设备设施</t>
        </is>
      </c>
      <c r="B18" s="2" t="inlineStr">
        <is>
          <t>桑拿房设备</t>
        </is>
      </c>
      <c r="C18" s="2" t="inlineStr">
        <is>
          <t>80000</t>
        </is>
      </c>
      <c r="D18" s="2" t="inlineStr">
        <is>
          <t>1</t>
        </is>
      </c>
      <c r="E18" s="2" t="inlineStr">
        <is>
          <t>套</t>
        </is>
      </c>
      <c r="F18" s="2" t="inlineStr">
        <is>
          <t>80000</t>
        </is>
      </c>
      <c r="G18" s="2" t="inlineStr"/>
    </row>
    <row r="19">
      <c r="A19" s="2" t="inlineStr">
        <is>
          <t>设备设施</t>
        </is>
      </c>
      <c r="B19" s="2" t="inlineStr">
        <is>
          <t>智能化系统</t>
        </is>
      </c>
      <c r="C19" s="2" t="inlineStr">
        <is>
          <t>120000</t>
        </is>
      </c>
      <c r="D19" s="2" t="inlineStr">
        <is>
          <t>1</t>
        </is>
      </c>
      <c r="E19" s="2" t="inlineStr">
        <is>
          <t>套</t>
        </is>
      </c>
      <c r="F19" s="2" t="inlineStr">
        <is>
          <t>120000</t>
        </is>
      </c>
      <c r="G19" s="2" t="inlineStr">
        <is>
          <t>门锁/监控/音响</t>
        </is>
      </c>
    </row>
    <row r="20">
      <c r="A20" s="2" t="inlineStr">
        <is>
          <t>设备设施</t>
        </is>
      </c>
      <c r="B20" s="2" t="inlineStr">
        <is>
          <t>设备设施小计</t>
        </is>
      </c>
      <c r="C20" s="2" t="inlineStr"/>
      <c r="D20" s="2" t="inlineStr"/>
      <c r="E20" s="2" t="inlineStr"/>
      <c r="F20" s="2" t="inlineStr">
        <is>
          <t>1296400</t>
        </is>
      </c>
      <c r="G20" s="2" t="inlineStr"/>
    </row>
    <row r="21">
      <c r="A21" s="2" t="inlineStr">
        <is>
          <t>前期费用</t>
        </is>
      </c>
      <c r="B21" s="2" t="inlineStr">
        <is>
          <t>设计费</t>
        </is>
      </c>
      <c r="C21" s="2" t="inlineStr">
        <is>
          <t>150000</t>
        </is>
      </c>
      <c r="D21" s="2" t="inlineStr">
        <is>
          <t>1</t>
        </is>
      </c>
      <c r="E21" s="2" t="inlineStr">
        <is>
          <t>套</t>
        </is>
      </c>
      <c r="F21" s="2" t="inlineStr">
        <is>
          <t>150000</t>
        </is>
      </c>
      <c r="G21" s="2" t="inlineStr"/>
    </row>
    <row r="22">
      <c r="A22" s="2" t="inlineStr">
        <is>
          <t>前期费用</t>
        </is>
      </c>
      <c r="B22" s="2" t="inlineStr">
        <is>
          <t>工程监理</t>
        </is>
      </c>
      <c r="C22" s="2" t="inlineStr">
        <is>
          <t>80000</t>
        </is>
      </c>
      <c r="D22" s="2" t="inlineStr">
        <is>
          <t>1</t>
        </is>
      </c>
      <c r="E22" s="2" t="inlineStr">
        <is>
          <t>套</t>
        </is>
      </c>
      <c r="F22" s="2" t="inlineStr">
        <is>
          <t>80000</t>
        </is>
      </c>
      <c r="G22" s="2" t="inlineStr"/>
    </row>
    <row r="23">
      <c r="A23" s="2" t="inlineStr">
        <is>
          <t>前期费用</t>
        </is>
      </c>
      <c r="B23" s="2" t="inlineStr">
        <is>
          <t>证照办理</t>
        </is>
      </c>
      <c r="C23" s="2" t="inlineStr">
        <is>
          <t>50000</t>
        </is>
      </c>
      <c r="D23" s="2" t="inlineStr">
        <is>
          <t>1</t>
        </is>
      </c>
      <c r="E23" s="2" t="inlineStr">
        <is>
          <t>套</t>
        </is>
      </c>
      <c r="F23" s="2" t="inlineStr">
        <is>
          <t>50000</t>
        </is>
      </c>
      <c r="G23" s="2" t="inlineStr"/>
    </row>
    <row r="24">
      <c r="A24" s="2" t="inlineStr">
        <is>
          <t>前期费用</t>
        </is>
      </c>
      <c r="B24" s="2" t="inlineStr">
        <is>
          <t>开业营销</t>
        </is>
      </c>
      <c r="C24" s="2" t="inlineStr">
        <is>
          <t>100000</t>
        </is>
      </c>
      <c r="D24" s="2" t="inlineStr">
        <is>
          <t>1</t>
        </is>
      </c>
      <c r="E24" s="2" t="inlineStr">
        <is>
          <t>套</t>
        </is>
      </c>
      <c r="F24" s="2" t="inlineStr">
        <is>
          <t>100000</t>
        </is>
      </c>
      <c r="G24" s="2" t="inlineStr"/>
    </row>
    <row r="25">
      <c r="A25" s="2" t="inlineStr">
        <is>
          <t>前期费用</t>
        </is>
      </c>
      <c r="B25" s="2" t="inlineStr">
        <is>
          <t>备用金</t>
        </is>
      </c>
      <c r="C25" s="2" t="inlineStr">
        <is>
          <t>200000</t>
        </is>
      </c>
      <c r="D25" s="2" t="inlineStr">
        <is>
          <t>1</t>
        </is>
      </c>
      <c r="E25" s="2" t="inlineStr">
        <is>
          <t>套</t>
        </is>
      </c>
      <c r="F25" s="2" t="inlineStr">
        <is>
          <t>200000</t>
        </is>
      </c>
      <c r="G25" s="2" t="inlineStr"/>
    </row>
    <row r="26">
      <c r="A26" s="2" t="inlineStr">
        <is>
          <t>前期费用</t>
        </is>
      </c>
      <c r="B26" s="2" t="inlineStr">
        <is>
          <t>前期费用小计</t>
        </is>
      </c>
      <c r="C26" s="2" t="inlineStr"/>
      <c r="D26" s="2" t="inlineStr"/>
      <c r="E26" s="2" t="inlineStr"/>
      <c r="F26" s="2" t="inlineStr">
        <is>
          <t>580000</t>
        </is>
      </c>
      <c r="G26" s="2" t="inlineStr"/>
    </row>
    <row r="27">
      <c r="A27" s="2" t="inlineStr">
        <is>
          <t>总计</t>
        </is>
      </c>
      <c r="B27" s="2" t="inlineStr">
        <is>
          <t>初始投资总计</t>
        </is>
      </c>
      <c r="C27" s="2" t="inlineStr"/>
      <c r="D27" s="2" t="inlineStr"/>
      <c r="E27" s="2" t="inlineStr"/>
      <c r="F27" s="2" t="inlineStr">
        <is>
          <t>8604400</t>
        </is>
      </c>
      <c r="G2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工作表3：月度运营成本</t>
        </is>
      </c>
    </row>
    <row r="2">
      <c r="A2" s="2" t="inlineStr">
        <is>
          <t>成本类别</t>
        </is>
      </c>
      <c r="B2" s="2" t="inlineStr">
        <is>
          <t>项目</t>
        </is>
      </c>
      <c r="C2" s="2" t="inlineStr">
        <is>
          <t>月成本(元)</t>
        </is>
      </c>
      <c r="D2" s="2" t="inlineStr">
        <is>
          <t>年成本(元)</t>
        </is>
      </c>
      <c r="E2" s="2" t="inlineStr">
        <is>
          <t>计算公式</t>
        </is>
      </c>
      <c r="F2" s="2" t="inlineStr">
        <is>
          <t>备注</t>
        </is>
      </c>
    </row>
    <row r="3">
      <c r="A3" s="2" t="inlineStr">
        <is>
          <t>人工成本</t>
        </is>
      </c>
      <c r="B3" s="2" t="inlineStr">
        <is>
          <t>店长</t>
        </is>
      </c>
      <c r="C3" s="2" t="inlineStr">
        <is>
          <t>8000</t>
        </is>
      </c>
      <c r="D3" s="2" t="inlineStr">
        <is>
          <t>96000</t>
        </is>
      </c>
      <c r="E3" s="2" t="inlineStr"/>
      <c r="F3" s="2" t="inlineStr">
        <is>
          <t>含绩效</t>
        </is>
      </c>
    </row>
    <row r="4">
      <c r="A4" s="2" t="inlineStr">
        <is>
          <t>人工成本</t>
        </is>
      </c>
      <c r="B4" s="2" t="inlineStr">
        <is>
          <t>前台×2</t>
        </is>
      </c>
      <c r="C4" s="2" t="inlineStr">
        <is>
          <t>10000</t>
        </is>
      </c>
      <c r="D4" s="2" t="inlineStr">
        <is>
          <t>120000</t>
        </is>
      </c>
      <c r="E4" s="2" t="inlineStr">
        <is>
          <t>5000×2</t>
        </is>
      </c>
      <c r="F4" s="2" t="inlineStr"/>
    </row>
    <row r="5">
      <c r="A5" s="2" t="inlineStr">
        <is>
          <t>人工成本</t>
        </is>
      </c>
      <c r="B5" s="2" t="inlineStr">
        <is>
          <t>客房服务员×3</t>
        </is>
      </c>
      <c r="C5" s="2" t="inlineStr">
        <is>
          <t>13500</t>
        </is>
      </c>
      <c r="D5" s="2" t="inlineStr">
        <is>
          <t>162000</t>
        </is>
      </c>
      <c r="E5" s="2" t="inlineStr">
        <is>
          <t>4500×3</t>
        </is>
      </c>
      <c r="F5" s="2" t="inlineStr"/>
    </row>
    <row r="6">
      <c r="A6" s="2" t="inlineStr">
        <is>
          <t>人工成本</t>
        </is>
      </c>
      <c r="B6" s="2" t="inlineStr">
        <is>
          <t>餐厅厨师×2</t>
        </is>
      </c>
      <c r="C6" s="2" t="inlineStr">
        <is>
          <t>12000</t>
        </is>
      </c>
      <c r="D6" s="2" t="inlineStr">
        <is>
          <t>144000</t>
        </is>
      </c>
      <c r="E6" s="2" t="inlineStr">
        <is>
          <t>6000×2</t>
        </is>
      </c>
      <c r="F6" s="2" t="inlineStr"/>
    </row>
    <row r="7">
      <c r="A7" s="2" t="inlineStr">
        <is>
          <t>人工成本</t>
        </is>
      </c>
      <c r="B7" s="2" t="inlineStr">
        <is>
          <t>温泉水司机</t>
        </is>
      </c>
      <c r="C7" s="2" t="inlineStr">
        <is>
          <t>5000</t>
        </is>
      </c>
      <c r="D7" s="2" t="inlineStr">
        <is>
          <t>60000</t>
        </is>
      </c>
      <c r="E7" s="2" t="inlineStr"/>
      <c r="F7" s="2" t="inlineStr"/>
    </row>
    <row r="8">
      <c r="A8" s="2" t="inlineStr">
        <is>
          <t>人工成本</t>
        </is>
      </c>
      <c r="B8" s="2" t="inlineStr">
        <is>
          <t>保洁/维修</t>
        </is>
      </c>
      <c r="C8" s="2" t="inlineStr">
        <is>
          <t>4000</t>
        </is>
      </c>
      <c r="D8" s="2" t="inlineStr">
        <is>
          <t>48000</t>
        </is>
      </c>
      <c r="E8" s="2" t="inlineStr"/>
      <c r="F8" s="2" t="inlineStr"/>
    </row>
    <row r="9">
      <c r="A9" s="2" t="inlineStr">
        <is>
          <t>人工成本</t>
        </is>
      </c>
      <c r="B9" s="2" t="inlineStr">
        <is>
          <t>人工小计</t>
        </is>
      </c>
      <c r="C9" s="2" t="inlineStr">
        <is>
          <t>52500</t>
        </is>
      </c>
      <c r="D9" s="2" t="inlineStr">
        <is>
          <t>630000</t>
        </is>
      </c>
      <c r="E9" s="2" t="inlineStr"/>
      <c r="F9" s="2" t="inlineStr"/>
    </row>
    <row r="10">
      <c r="A10" s="2" t="inlineStr">
        <is>
          <t>能源成本</t>
        </is>
      </c>
      <c r="B10" s="2" t="inlineStr">
        <is>
          <t>温泉水费</t>
        </is>
      </c>
      <c r="C10" s="2" t="inlineStr">
        <is>
          <t>1050</t>
        </is>
      </c>
      <c r="D10" s="2" t="inlineStr">
        <is>
          <t>12600</t>
        </is>
      </c>
      <c r="E10" s="2" t="inlineStr">
        <is>
          <t>7元/吨×5吨×30天</t>
        </is>
      </c>
      <c r="F10" s="2" t="inlineStr"/>
    </row>
    <row r="11">
      <c r="A11" s="2" t="inlineStr">
        <is>
          <t>能源成本</t>
        </is>
      </c>
      <c r="B11" s="2" t="inlineStr">
        <is>
          <t>电费</t>
        </is>
      </c>
      <c r="C11" s="2" t="inlineStr">
        <is>
          <t>25000</t>
        </is>
      </c>
      <c r="D11" s="2" t="inlineStr">
        <is>
          <t>300000</t>
        </is>
      </c>
      <c r="E11" s="2" t="inlineStr"/>
      <c r="F11" s="2" t="inlineStr">
        <is>
          <t>加热/地暖/空调/照明</t>
        </is>
      </c>
    </row>
    <row r="12">
      <c r="A12" s="2" t="inlineStr">
        <is>
          <t>能源成本</t>
        </is>
      </c>
      <c r="B12" s="2" t="inlineStr">
        <is>
          <t>燃气费</t>
        </is>
      </c>
      <c r="C12" s="2" t="inlineStr">
        <is>
          <t>3000</t>
        </is>
      </c>
      <c r="D12" s="2" t="inlineStr">
        <is>
          <t>36000</t>
        </is>
      </c>
      <c r="E12" s="2" t="inlineStr"/>
      <c r="F12" s="2" t="inlineStr"/>
    </row>
    <row r="13">
      <c r="A13" s="2" t="inlineStr">
        <is>
          <t>能源成本</t>
        </is>
      </c>
      <c r="B13" s="2" t="inlineStr">
        <is>
          <t>自来水费</t>
        </is>
      </c>
      <c r="C13" s="2" t="inlineStr">
        <is>
          <t>2000</t>
        </is>
      </c>
      <c r="D13" s="2" t="inlineStr">
        <is>
          <t>24000</t>
        </is>
      </c>
      <c r="E13" s="2" t="inlineStr"/>
      <c r="F13" s="2" t="inlineStr"/>
    </row>
    <row r="14">
      <c r="A14" s="2" t="inlineStr">
        <is>
          <t>能源成本</t>
        </is>
      </c>
      <c r="B14" s="2" t="inlineStr">
        <is>
          <t>能源小计</t>
        </is>
      </c>
      <c r="C14" s="2" t="inlineStr">
        <is>
          <t>31050</t>
        </is>
      </c>
      <c r="D14" s="2" t="inlineStr">
        <is>
          <t>372600</t>
        </is>
      </c>
      <c r="E14" s="2" t="inlineStr"/>
      <c r="F14" s="2" t="inlineStr"/>
    </row>
    <row r="15">
      <c r="A15" s="2" t="inlineStr">
        <is>
          <t>其他成本</t>
        </is>
      </c>
      <c r="B15" s="2" t="inlineStr">
        <is>
          <t>拉水车油费及维护</t>
        </is>
      </c>
      <c r="C15" s="2" t="inlineStr">
        <is>
          <t>5000</t>
        </is>
      </c>
      <c r="D15" s="2" t="inlineStr">
        <is>
          <t>60000</t>
        </is>
      </c>
      <c r="E15" s="2" t="inlineStr"/>
      <c r="F15" s="2" t="inlineStr"/>
    </row>
    <row r="16">
      <c r="A16" s="2" t="inlineStr">
        <is>
          <t>其他成本</t>
        </is>
      </c>
      <c r="B16" s="2" t="inlineStr">
        <is>
          <t>设备维护保养</t>
        </is>
      </c>
      <c r="C16" s="2" t="inlineStr">
        <is>
          <t>3000</t>
        </is>
      </c>
      <c r="D16" s="2" t="inlineStr">
        <is>
          <t>36000</t>
        </is>
      </c>
      <c r="E16" s="2" t="inlineStr"/>
      <c r="F16" s="2" t="inlineStr"/>
    </row>
    <row r="17">
      <c r="A17" s="2" t="inlineStr">
        <is>
          <t>其他成本</t>
        </is>
      </c>
      <c r="B17" s="2" t="inlineStr">
        <is>
          <t>布草洗涤</t>
        </is>
      </c>
      <c r="C17" s="2" t="inlineStr">
        <is>
          <t>4000</t>
        </is>
      </c>
      <c r="D17" s="2" t="inlineStr">
        <is>
          <t>48000</t>
        </is>
      </c>
      <c r="E17" s="2" t="inlineStr"/>
      <c r="F17" s="2" t="inlineStr"/>
    </row>
    <row r="18">
      <c r="A18" s="2" t="inlineStr">
        <is>
          <t>其他成本</t>
        </is>
      </c>
      <c r="B18" s="2" t="inlineStr">
        <is>
          <t>一次性用品</t>
        </is>
      </c>
      <c r="C18" s="2" t="inlineStr">
        <is>
          <t>3000</t>
        </is>
      </c>
      <c r="D18" s="2" t="inlineStr">
        <is>
          <t>36000</t>
        </is>
      </c>
      <c r="E18" s="2" t="inlineStr"/>
      <c r="F18" s="2" t="inlineStr"/>
    </row>
    <row r="19">
      <c r="A19" s="2" t="inlineStr">
        <is>
          <t>其他成本</t>
        </is>
      </c>
      <c r="B19" s="2" t="inlineStr">
        <is>
          <t>餐饮食材成本</t>
        </is>
      </c>
      <c r="C19" s="2" t="inlineStr">
        <is>
          <t>15000</t>
        </is>
      </c>
      <c r="D19" s="2" t="inlineStr">
        <is>
          <t>180000</t>
        </is>
      </c>
      <c r="E19" s="2" t="inlineStr"/>
      <c r="F19" s="2" t="inlineStr">
        <is>
          <t>按收入30%倒算</t>
        </is>
      </c>
    </row>
    <row r="20">
      <c r="A20" s="2" t="inlineStr">
        <is>
          <t>其他成本</t>
        </is>
      </c>
      <c r="B20" s="2" t="inlineStr">
        <is>
          <t>营销推广</t>
        </is>
      </c>
      <c r="C20" s="2" t="inlineStr">
        <is>
          <t>8000</t>
        </is>
      </c>
      <c r="D20" s="2" t="inlineStr">
        <is>
          <t>96000</t>
        </is>
      </c>
      <c r="E20" s="2" t="inlineStr"/>
      <c r="F20" s="2" t="inlineStr"/>
    </row>
    <row r="21">
      <c r="A21" s="2" t="inlineStr">
        <is>
          <t>其他成本</t>
        </is>
      </c>
      <c r="B21" s="2" t="inlineStr">
        <is>
          <t>物业管理费</t>
        </is>
      </c>
      <c r="C21" s="2" t="inlineStr">
        <is>
          <t>5000</t>
        </is>
      </c>
      <c r="D21" s="2" t="inlineStr">
        <is>
          <t>60000</t>
        </is>
      </c>
      <c r="E21" s="2" t="inlineStr"/>
      <c r="F21" s="2" t="inlineStr"/>
    </row>
    <row r="22">
      <c r="A22" s="2" t="inlineStr">
        <is>
          <t>其他成本</t>
        </is>
      </c>
      <c r="B22" s="2" t="inlineStr">
        <is>
          <t>保险费</t>
        </is>
      </c>
      <c r="C22" s="2" t="inlineStr">
        <is>
          <t>2000</t>
        </is>
      </c>
      <c r="D22" s="2" t="inlineStr">
        <is>
          <t>24000</t>
        </is>
      </c>
      <c r="E22" s="2" t="inlineStr"/>
      <c r="F22" s="2" t="inlineStr"/>
    </row>
    <row r="23">
      <c r="A23" s="2" t="inlineStr">
        <is>
          <t>其他成本</t>
        </is>
      </c>
      <c r="B23" s="2" t="inlineStr">
        <is>
          <t>其他成本小计</t>
        </is>
      </c>
      <c r="C23" s="2" t="inlineStr">
        <is>
          <t>45000</t>
        </is>
      </c>
      <c r="D23" s="2" t="inlineStr">
        <is>
          <t>540000</t>
        </is>
      </c>
      <c r="E23" s="2" t="inlineStr"/>
      <c r="F23" s="2" t="inlineStr"/>
    </row>
    <row r="24">
      <c r="A24" s="2" t="inlineStr">
        <is>
          <t>总计</t>
        </is>
      </c>
      <c r="B24" s="2" t="inlineStr">
        <is>
          <t>月度总成本</t>
        </is>
      </c>
      <c r="C24" s="2" t="inlineStr">
        <is>
          <t>128550</t>
        </is>
      </c>
      <c r="D24" s="2" t="inlineStr">
        <is>
          <t>1542600</t>
        </is>
      </c>
      <c r="E24" s="2" t="inlineStr"/>
      <c r="F2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4" customWidth="1" min="4" max="4"/>
    <col width="5" customWidth="1" min="5" max="5"/>
    <col width="8" customWidth="1" min="6" max="6"/>
    <col width="9" customWidth="1" min="7" max="7"/>
    <col width="9" customWidth="1" min="8" max="8"/>
    <col width="21" customWidth="1" min="9" max="9"/>
  </cols>
  <sheetData>
    <row r="1">
      <c r="A1" s="1" t="inlineStr">
        <is>
          <t>工作表4：收入预测模型</t>
        </is>
      </c>
    </row>
    <row r="2">
      <c r="A2" s="2" t="inlineStr">
        <is>
          <t>季节</t>
        </is>
      </c>
      <c r="B2" s="2" t="inlineStr">
        <is>
          <t>月数</t>
        </is>
      </c>
      <c r="C2" s="2" t="inlineStr">
        <is>
          <t>标准间价格</t>
        </is>
      </c>
      <c r="D2" s="2" t="inlineStr">
        <is>
          <t>套房价格</t>
        </is>
      </c>
      <c r="E2" s="2" t="inlineStr">
        <is>
          <t>入住率</t>
        </is>
      </c>
      <c r="F2" s="2" t="inlineStr">
        <is>
          <t>标准间收入</t>
        </is>
      </c>
      <c r="G2" s="2" t="inlineStr">
        <is>
          <t>套房收入</t>
        </is>
      </c>
      <c r="H2" s="2" t="inlineStr">
        <is>
          <t>季节小计</t>
        </is>
      </c>
      <c r="I2" s="2" t="inlineStr">
        <is>
          <t>计算公式</t>
        </is>
      </c>
    </row>
    <row r="3">
      <c r="A3" s="2" t="inlineStr">
        <is>
          <t>淡季</t>
        </is>
      </c>
      <c r="B3" s="2" t="inlineStr">
        <is>
          <t>2</t>
        </is>
      </c>
      <c r="C3" s="2" t="inlineStr">
        <is>
          <t>580</t>
        </is>
      </c>
      <c r="D3" s="2" t="inlineStr">
        <is>
          <t>880</t>
        </is>
      </c>
      <c r="E3" s="2" t="inlineStr">
        <is>
          <t>35%</t>
        </is>
      </c>
      <c r="F3" s="2" t="inlineStr">
        <is>
          <t>48720</t>
        </is>
      </c>
      <c r="G3" s="2" t="inlineStr">
        <is>
          <t>73920</t>
        </is>
      </c>
      <c r="H3" s="2" t="inlineStr">
        <is>
          <t>122640</t>
        </is>
      </c>
      <c r="I3" s="2">
        <f>580×4间×30天×2月×35%</f>
        <v/>
      </c>
    </row>
    <row r="4">
      <c r="A4" s="2" t="inlineStr">
        <is>
          <t>平季</t>
        </is>
      </c>
      <c r="B4" s="2" t="inlineStr">
        <is>
          <t>6</t>
        </is>
      </c>
      <c r="C4" s="2" t="inlineStr">
        <is>
          <t>780</t>
        </is>
      </c>
      <c r="D4" s="2" t="inlineStr">
        <is>
          <t>1180</t>
        </is>
      </c>
      <c r="E4" s="2" t="inlineStr">
        <is>
          <t>55%</t>
        </is>
      </c>
      <c r="F4" s="2" t="inlineStr">
        <is>
          <t>308880</t>
        </is>
      </c>
      <c r="G4" s="2" t="inlineStr">
        <is>
          <t>467280</t>
        </is>
      </c>
      <c r="H4" s="2" t="inlineStr">
        <is>
          <t>776160</t>
        </is>
      </c>
      <c r="I4" s="2">
        <f>780×4间×30天×6月×55%</f>
        <v/>
      </c>
    </row>
    <row r="5">
      <c r="A5" s="2" t="inlineStr">
        <is>
          <t>旺季</t>
        </is>
      </c>
      <c r="B5" s="2" t="inlineStr">
        <is>
          <t>4</t>
        </is>
      </c>
      <c r="C5" s="2" t="inlineStr">
        <is>
          <t>1280</t>
        </is>
      </c>
      <c r="D5" s="2" t="inlineStr">
        <is>
          <t>1880</t>
        </is>
      </c>
      <c r="E5" s="2" t="inlineStr">
        <is>
          <t>75%</t>
        </is>
      </c>
      <c r="F5" s="2" t="inlineStr">
        <is>
          <t>460800</t>
        </is>
      </c>
      <c r="G5" s="2" t="inlineStr">
        <is>
          <t>676800</t>
        </is>
      </c>
      <c r="H5" s="2" t="inlineStr">
        <is>
          <t>1137600</t>
        </is>
      </c>
      <c r="I5" s="2">
        <f>1280×4间×30天×4月×75%</f>
        <v/>
      </c>
    </row>
    <row r="6">
      <c r="A6" s="2" t="inlineStr">
        <is>
          <t>年度客房收入</t>
        </is>
      </c>
      <c r="B6" s="2" t="inlineStr"/>
      <c r="C6" s="2" t="inlineStr"/>
      <c r="D6" s="2" t="inlineStr"/>
      <c r="E6" s="2" t="inlineStr"/>
      <c r="F6" s="2" t="inlineStr">
        <is>
          <t>818400</t>
        </is>
      </c>
      <c r="G6" s="2" t="inlineStr">
        <is>
          <t>1218000</t>
        </is>
      </c>
      <c r="H6" s="2" t="inlineStr">
        <is>
          <t>2036400</t>
        </is>
      </c>
      <c r="I6" s="2" t="inlineStr"/>
    </row>
    <row r="7"/>
    <row r="8">
      <c r="A8" s="2" t="inlineStr">
        <is>
          <t>附加服务收入</t>
        </is>
      </c>
    </row>
    <row r="9">
      <c r="A9" s="2" t="inlineStr">
        <is>
          <t>项目</t>
        </is>
      </c>
      <c r="B9" s="2" t="inlineStr">
        <is>
          <t>占客房收入比例</t>
        </is>
      </c>
      <c r="C9" s="2" t="inlineStr">
        <is>
          <t>年收入(元)</t>
        </is>
      </c>
      <c r="D9" s="2" t="inlineStr">
        <is>
          <t>计算公式</t>
        </is>
      </c>
    </row>
    <row r="10">
      <c r="A10" s="2" t="inlineStr">
        <is>
          <t>餐饮收入</t>
        </is>
      </c>
      <c r="B10" s="2" t="inlineStr">
        <is>
          <t>30%</t>
        </is>
      </c>
      <c r="C10" s="2" t="inlineStr">
        <is>
          <t>610920</t>
        </is>
      </c>
      <c r="D10" s="2">
        <f>2036400×30%</f>
        <v/>
      </c>
    </row>
    <row r="11">
      <c r="A11" s="2" t="inlineStr">
        <is>
          <t>雪茄吧/水吧</t>
        </is>
      </c>
      <c r="B11" s="2" t="inlineStr">
        <is>
          <t>15%</t>
        </is>
      </c>
      <c r="C11" s="2" t="inlineStr">
        <is>
          <t>305460</t>
        </is>
      </c>
      <c r="D11" s="2">
        <f>2036400×15%</f>
        <v/>
      </c>
    </row>
    <row r="12">
      <c r="A12" s="2" t="inlineStr">
        <is>
          <t>桑拿/按摩</t>
        </is>
      </c>
      <c r="B12" s="2" t="inlineStr">
        <is>
          <t>10%</t>
        </is>
      </c>
      <c r="C12" s="2" t="inlineStr">
        <is>
          <t>203640</t>
        </is>
      </c>
      <c r="D12" s="2">
        <f>2036400×10%</f>
        <v/>
      </c>
    </row>
    <row r="13">
      <c r="A13" s="2" t="inlineStr">
        <is>
          <t>麻将房</t>
        </is>
      </c>
      <c r="B13" s="2" t="inlineStr">
        <is>
          <t>5%</t>
        </is>
      </c>
      <c r="C13" s="2" t="inlineStr">
        <is>
          <t>101820</t>
        </is>
      </c>
      <c r="D13" s="2">
        <f>2036400×5%</f>
        <v/>
      </c>
    </row>
    <row r="14">
      <c r="A14" s="2" t="inlineStr">
        <is>
          <t>附加服务小计</t>
        </is>
      </c>
      <c r="B14" s="2" t="inlineStr">
        <is>
          <t>60%</t>
        </is>
      </c>
      <c r="C14" s="2" t="inlineStr">
        <is>
          <t>1221840</t>
        </is>
      </c>
      <c r="D14" s="2" t="inlineStr"/>
    </row>
    <row r="15"/>
    <row r="16">
      <c r="A16" s="2" t="inlineStr">
        <is>
          <t>总收入汇总</t>
        </is>
      </c>
    </row>
    <row r="17">
      <c r="A17" s="2" t="inlineStr">
        <is>
          <t>项目</t>
        </is>
      </c>
      <c r="B17" s="2" t="inlineStr">
        <is>
          <t>金额(元)</t>
        </is>
      </c>
    </row>
    <row r="18">
      <c r="A18" s="2" t="inlineStr">
        <is>
          <t>客房收入</t>
        </is>
      </c>
      <c r="B18" s="2" t="inlineStr">
        <is>
          <t>2036400</t>
        </is>
      </c>
    </row>
    <row r="19">
      <c r="A19" s="2" t="inlineStr">
        <is>
          <t>附加服务收入</t>
        </is>
      </c>
      <c r="B19" s="2" t="inlineStr">
        <is>
          <t>1221840</t>
        </is>
      </c>
    </row>
    <row r="20">
      <c r="A20" s="2" t="inlineStr">
        <is>
          <t>年度总收入</t>
        </is>
      </c>
      <c r="B20" s="2" t="inlineStr">
        <is>
          <t>3258240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工作表5：5年现金流量表</t>
        </is>
      </c>
    </row>
    <row r="2">
      <c r="A2" s="2" t="inlineStr">
        <is>
          <t>项目</t>
        </is>
      </c>
      <c r="B2" s="2" t="inlineStr">
        <is>
          <t>第0年</t>
        </is>
      </c>
      <c r="C2" s="2" t="inlineStr">
        <is>
          <t>第1年</t>
        </is>
      </c>
      <c r="D2" s="2" t="inlineStr">
        <is>
          <t>第2年</t>
        </is>
      </c>
      <c r="E2" s="2" t="inlineStr">
        <is>
          <t>第3年</t>
        </is>
      </c>
      <c r="F2" s="2" t="inlineStr">
        <is>
          <t>第4年</t>
        </is>
      </c>
      <c r="G2" s="2" t="inlineStr">
        <is>
          <t>第5年</t>
        </is>
      </c>
    </row>
    <row r="3">
      <c r="A3" s="2" t="inlineStr">
        <is>
          <t>收入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客房收入</t>
        </is>
      </c>
      <c r="B4" s="2" t="inlineStr">
        <is>
          <t>0</t>
        </is>
      </c>
      <c r="C4" s="2" t="inlineStr">
        <is>
          <t>1832760</t>
        </is>
      </c>
      <c r="D4" s="2" t="inlineStr">
        <is>
          <t>2036400</t>
        </is>
      </c>
      <c r="E4" s="2" t="inlineStr">
        <is>
          <t>2240040</t>
        </is>
      </c>
      <c r="F4" s="2" t="inlineStr">
        <is>
          <t>2464044</t>
        </is>
      </c>
      <c r="G4" s="2" t="inlineStr">
        <is>
          <t>2661167</t>
        </is>
      </c>
    </row>
    <row r="5">
      <c r="A5" s="2" t="inlineStr">
        <is>
          <t>附加服务收入</t>
        </is>
      </c>
      <c r="B5" s="2" t="inlineStr">
        <is>
          <t>0</t>
        </is>
      </c>
      <c r="C5" s="2" t="inlineStr">
        <is>
          <t>1099656</t>
        </is>
      </c>
      <c r="D5" s="2" t="inlineStr">
        <is>
          <t>1221840</t>
        </is>
      </c>
      <c r="E5" s="2" t="inlineStr">
        <is>
          <t>1344024</t>
        </is>
      </c>
      <c r="F5" s="2" t="inlineStr">
        <is>
          <t>1478426</t>
        </is>
      </c>
      <c r="G5" s="2" t="inlineStr">
        <is>
          <t>1596700</t>
        </is>
      </c>
    </row>
    <row r="6">
      <c r="A6" s="2" t="inlineStr">
        <is>
          <t>总收入</t>
        </is>
      </c>
      <c r="B6" s="2" t="inlineStr">
        <is>
          <t>0</t>
        </is>
      </c>
      <c r="C6" s="2" t="inlineStr">
        <is>
          <t>2932416</t>
        </is>
      </c>
      <c r="D6" s="2" t="inlineStr">
        <is>
          <t>3258240</t>
        </is>
      </c>
      <c r="E6" s="2" t="inlineStr">
        <is>
          <t>3584064</t>
        </is>
      </c>
      <c r="F6" s="2" t="inlineStr">
        <is>
          <t>3942470</t>
        </is>
      </c>
      <c r="G6" s="2" t="inlineStr">
        <is>
          <t>4257867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运营成本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人工成本</t>
        </is>
      </c>
      <c r="B9" s="2" t="inlineStr">
        <is>
          <t>0</t>
        </is>
      </c>
      <c r="C9" s="2" t="inlineStr">
        <is>
          <t>630000</t>
        </is>
      </c>
      <c r="D9" s="2" t="inlineStr">
        <is>
          <t>630000</t>
        </is>
      </c>
      <c r="E9" s="2" t="inlineStr">
        <is>
          <t>655800</t>
        </is>
      </c>
      <c r="F9" s="2" t="inlineStr">
        <is>
          <t>682032</t>
        </is>
      </c>
      <c r="G9" s="2" t="inlineStr">
        <is>
          <t>709713</t>
        </is>
      </c>
    </row>
    <row r="10">
      <c r="A10" s="2" t="inlineStr">
        <is>
          <t>能源成本</t>
        </is>
      </c>
      <c r="B10" s="2" t="inlineStr">
        <is>
          <t>0</t>
        </is>
      </c>
      <c r="C10" s="2" t="inlineStr">
        <is>
          <t>372600</t>
        </is>
      </c>
      <c r="D10" s="2" t="inlineStr">
        <is>
          <t>372600</t>
        </is>
      </c>
      <c r="E10" s="2" t="inlineStr">
        <is>
          <t>387984</t>
        </is>
      </c>
      <c r="F10" s="2" t="inlineStr">
        <is>
          <t>403903</t>
        </is>
      </c>
      <c r="G10" s="2" t="inlineStr">
        <is>
          <t>420379</t>
        </is>
      </c>
    </row>
    <row r="11">
      <c r="A11" s="2" t="inlineStr">
        <is>
          <t>其他成本</t>
        </is>
      </c>
      <c r="B11" s="2" t="inlineStr">
        <is>
          <t>0</t>
        </is>
      </c>
      <c r="C11" s="2" t="inlineStr">
        <is>
          <t>540000</t>
        </is>
      </c>
      <c r="D11" s="2" t="inlineStr">
        <is>
          <t>540000</t>
        </is>
      </c>
      <c r="E11" s="2" t="inlineStr">
        <is>
          <t>562320</t>
        </is>
      </c>
      <c r="F11" s="2" t="inlineStr">
        <is>
          <t>585013</t>
        </is>
      </c>
      <c r="G11" s="2" t="inlineStr">
        <is>
          <t>608414</t>
        </is>
      </c>
    </row>
    <row r="12">
      <c r="A12" s="2" t="inlineStr">
        <is>
          <t>总成本</t>
        </is>
      </c>
      <c r="B12" s="2" t="inlineStr">
        <is>
          <t>0</t>
        </is>
      </c>
      <c r="C12" s="2" t="inlineStr">
        <is>
          <t>1542600</t>
        </is>
      </c>
      <c r="D12" s="2" t="inlineStr">
        <is>
          <t>1542600</t>
        </is>
      </c>
      <c r="E12" s="2" t="inlineStr">
        <is>
          <t>1606104</t>
        </is>
      </c>
      <c r="F12" s="2" t="inlineStr">
        <is>
          <t>1670948</t>
        </is>
      </c>
      <c r="G12" s="2" t="inlineStr">
        <is>
          <t>1738506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息税前利润(EBIT)</t>
        </is>
      </c>
      <c r="B14" s="2" t="inlineStr">
        <is>
          <t>0</t>
        </is>
      </c>
      <c r="C14" s="2" t="inlineStr">
        <is>
          <t>1389816</t>
        </is>
      </c>
      <c r="D14" s="2" t="inlineStr">
        <is>
          <t>1715640</t>
        </is>
      </c>
      <c r="E14" s="2" t="inlineStr">
        <is>
          <t>1977960</t>
        </is>
      </c>
      <c r="F14" s="2" t="inlineStr">
        <is>
          <t>2271522</t>
        </is>
      </c>
      <c r="G14" s="2" t="inlineStr">
        <is>
          <t>2519361</t>
        </is>
      </c>
    </row>
    <row r="15">
      <c r="A15" s="2" t="inlineStr">
        <is>
          <t>折旧摊销</t>
        </is>
      </c>
      <c r="B15" s="2" t="inlineStr">
        <is>
          <t>0</t>
        </is>
      </c>
      <c r="C15" s="2" t="inlineStr">
        <is>
          <t>430220</t>
        </is>
      </c>
      <c r="D15" s="2" t="inlineStr">
        <is>
          <t>430220</t>
        </is>
      </c>
      <c r="E15" s="2" t="inlineStr">
        <is>
          <t>430220</t>
        </is>
      </c>
      <c r="F15" s="2" t="inlineStr">
        <is>
          <t>430220</t>
        </is>
      </c>
      <c r="G15" s="2" t="inlineStr">
        <is>
          <t>430220</t>
        </is>
      </c>
    </row>
    <row r="16">
      <c r="A16" s="2" t="inlineStr">
        <is>
          <t>税前利润</t>
        </is>
      </c>
      <c r="B16" s="2" t="inlineStr">
        <is>
          <t>0</t>
        </is>
      </c>
      <c r="C16" s="2" t="inlineStr">
        <is>
          <t>959596</t>
        </is>
      </c>
      <c r="D16" s="2" t="inlineStr">
        <is>
          <t>1285420</t>
        </is>
      </c>
      <c r="E16" s="2" t="inlineStr">
        <is>
          <t>1547740</t>
        </is>
      </c>
      <c r="F16" s="2" t="inlineStr">
        <is>
          <t>1841302</t>
        </is>
      </c>
      <c r="G16" s="2" t="inlineStr">
        <is>
          <t>2089141</t>
        </is>
      </c>
    </row>
    <row r="17">
      <c r="A17" s="2" t="inlineStr">
        <is>
          <t>所得税(25%)</t>
        </is>
      </c>
      <c r="B17" s="2" t="inlineStr">
        <is>
          <t>0</t>
        </is>
      </c>
      <c r="C17" s="2" t="inlineStr">
        <is>
          <t>239899</t>
        </is>
      </c>
      <c r="D17" s="2" t="inlineStr">
        <is>
          <t>321355</t>
        </is>
      </c>
      <c r="E17" s="2" t="inlineStr">
        <is>
          <t>386935</t>
        </is>
      </c>
      <c r="F17" s="2" t="inlineStr">
        <is>
          <t>460326</t>
        </is>
      </c>
      <c r="G17" s="2" t="inlineStr">
        <is>
          <t>522285</t>
        </is>
      </c>
    </row>
    <row r="18">
      <c r="A18" s="2" t="inlineStr">
        <is>
          <t>净利润</t>
        </is>
      </c>
      <c r="B18" s="2" t="inlineStr">
        <is>
          <t>0</t>
        </is>
      </c>
      <c r="C18" s="2" t="inlineStr">
        <is>
          <t>719697</t>
        </is>
      </c>
      <c r="D18" s="2" t="inlineStr">
        <is>
          <t>964065</t>
        </is>
      </c>
      <c r="E18" s="2" t="inlineStr">
        <is>
          <t>1160805</t>
        </is>
      </c>
      <c r="F18" s="2" t="inlineStr">
        <is>
          <t>1380977</t>
        </is>
      </c>
      <c r="G18" s="2" t="inlineStr">
        <is>
          <t>1566856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inlineStr">
        <is>
          <t>现金流</t>
        </is>
      </c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2" t="inlineStr">
        <is>
          <t>净利润</t>
        </is>
      </c>
      <c r="B21" s="2" t="inlineStr">
        <is>
          <t>0</t>
        </is>
      </c>
      <c r="C21" s="2" t="inlineStr">
        <is>
          <t>719697</t>
        </is>
      </c>
      <c r="D21" s="2" t="inlineStr">
        <is>
          <t>964065</t>
        </is>
      </c>
      <c r="E21" s="2" t="inlineStr">
        <is>
          <t>1160805</t>
        </is>
      </c>
      <c r="F21" s="2" t="inlineStr">
        <is>
          <t>1380977</t>
        </is>
      </c>
      <c r="G21" s="2" t="inlineStr">
        <is>
          <t>1566856</t>
        </is>
      </c>
    </row>
    <row r="22">
      <c r="A22" s="2" t="inlineStr">
        <is>
          <t>加：折旧摊销</t>
        </is>
      </c>
      <c r="B22" s="2" t="inlineStr">
        <is>
          <t>0</t>
        </is>
      </c>
      <c r="C22" s="2" t="inlineStr">
        <is>
          <t>430220</t>
        </is>
      </c>
      <c r="D22" s="2" t="inlineStr">
        <is>
          <t>430220</t>
        </is>
      </c>
      <c r="E22" s="2" t="inlineStr">
        <is>
          <t>430220</t>
        </is>
      </c>
      <c r="F22" s="2" t="inlineStr">
        <is>
          <t>430220</t>
        </is>
      </c>
      <c r="G22" s="2" t="inlineStr">
        <is>
          <t>430220</t>
        </is>
      </c>
    </row>
    <row r="23">
      <c r="A23" s="2" t="inlineStr">
        <is>
          <t>减：初始投资</t>
        </is>
      </c>
      <c r="B23" s="2" t="inlineStr">
        <is>
          <t>-8606000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</row>
    <row r="24">
      <c r="A24" s="2" t="inlineStr">
        <is>
          <t>经营现金流</t>
        </is>
      </c>
      <c r="B24" s="2" t="inlineStr">
        <is>
          <t>-8606000</t>
        </is>
      </c>
      <c r="C24" s="2" t="inlineStr">
        <is>
          <t>1149917</t>
        </is>
      </c>
      <c r="D24" s="2" t="inlineStr">
        <is>
          <t>1394285</t>
        </is>
      </c>
      <c r="E24" s="2" t="inlineStr">
        <is>
          <t>1591025</t>
        </is>
      </c>
      <c r="F24" s="2" t="inlineStr">
        <is>
          <t>1811197</t>
        </is>
      </c>
      <c r="G24" s="2" t="inlineStr">
        <is>
          <t>1997076</t>
        </is>
      </c>
    </row>
    <row r="25">
      <c r="A25" s="2" t="inlineStr">
        <is>
          <t>累计现金流</t>
        </is>
      </c>
      <c r="B25" s="2" t="inlineStr">
        <is>
          <t>-8606000</t>
        </is>
      </c>
      <c r="C25" s="2" t="inlineStr">
        <is>
          <t>-7456083</t>
        </is>
      </c>
      <c r="D25" s="2" t="inlineStr">
        <is>
          <t>-6061798</t>
        </is>
      </c>
      <c r="E25" s="2" t="inlineStr">
        <is>
          <t>-4470773</t>
        </is>
      </c>
      <c r="F25" s="2" t="inlineStr">
        <is>
          <t>-2659576</t>
        </is>
      </c>
      <c r="G25" s="2" t="inlineStr">
        <is>
          <t>-662500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3" customWidth="1" min="4" max="4"/>
  </cols>
  <sheetData>
    <row r="1">
      <c r="A1" s="1" t="inlineStr">
        <is>
          <t>工作表6：投资回报分析</t>
        </is>
      </c>
    </row>
    <row r="2">
      <c r="A2" s="2" t="inlineStr">
        <is>
          <t>关键财务指标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计算公式</t>
        </is>
      </c>
      <c r="D3" s="2" t="inlineStr">
        <is>
          <t>说明</t>
        </is>
      </c>
    </row>
    <row r="4">
      <c r="A4" s="2" t="inlineStr">
        <is>
          <t>初始投资</t>
        </is>
      </c>
      <c r="B4" s="2" t="inlineStr">
        <is>
          <t>8606000元</t>
        </is>
      </c>
      <c r="C4" s="2" t="inlineStr"/>
      <c r="D4" s="2" t="inlineStr"/>
    </row>
    <row r="5">
      <c r="A5" s="2" t="inlineStr">
        <is>
          <t>年均净利润（5年）</t>
        </is>
      </c>
      <c r="B5" s="2" t="inlineStr">
        <is>
          <t>1158480元</t>
        </is>
      </c>
      <c r="C5" s="2">
        <f>AVERAGE(第1-5年净利润)</f>
        <v/>
      </c>
      <c r="D5" s="2" t="inlineStr"/>
    </row>
    <row r="6">
      <c r="A6" s="2" t="inlineStr">
        <is>
          <t>年均现金流（5年）</t>
        </is>
      </c>
      <c r="B6" s="2" t="inlineStr">
        <is>
          <t>1588700元</t>
        </is>
      </c>
      <c r="C6" s="2">
        <f>AVERAGE(第1-5年经营现金流)</f>
        <v/>
      </c>
      <c r="D6" s="2" t="inlineStr"/>
    </row>
    <row r="7">
      <c r="A7" s="2" t="inlineStr">
        <is>
          <t>静态回收期</t>
        </is>
      </c>
      <c r="B7" s="2" t="inlineStr">
        <is>
          <t>7.4年</t>
        </is>
      </c>
      <c r="C7" s="2">
        <f>初始投资/年均净利润</f>
        <v/>
      </c>
      <c r="D7" s="2" t="inlineStr"/>
    </row>
    <row r="8">
      <c r="A8" s="2" t="inlineStr">
        <is>
          <t>动态回收期</t>
        </is>
      </c>
      <c r="B8" s="2" t="inlineStr">
        <is>
          <t>6.2年</t>
        </is>
      </c>
      <c r="C8" s="2" t="inlineStr">
        <is>
          <t>累计现金流为0的年份</t>
        </is>
      </c>
      <c r="D8" s="2" t="inlineStr">
        <is>
          <t>需插值计算</t>
        </is>
      </c>
    </row>
    <row r="9">
      <c r="A9" s="2" t="inlineStr">
        <is>
          <t>投资回报率(ROI)</t>
        </is>
      </c>
      <c r="B9" s="2" t="inlineStr">
        <is>
          <t>13.5%</t>
        </is>
      </c>
      <c r="C9" s="2">
        <f>年均净利润/初始投资</f>
        <v/>
      </c>
      <c r="D9" s="2" t="inlineStr"/>
    </row>
    <row r="10">
      <c r="A10" s="2" t="inlineStr">
        <is>
          <t>内部收益率(IRR)</t>
        </is>
      </c>
      <c r="B10" s="2" t="inlineStr">
        <is>
          <t>11.8%</t>
        </is>
      </c>
      <c r="C10" s="2">
        <f>IRR(现金流序列)</f>
        <v/>
      </c>
      <c r="D10" s="2" t="inlineStr">
        <is>
          <t>Excel IRR函数</t>
        </is>
      </c>
    </row>
    <row r="11">
      <c r="A11" s="2" t="inlineStr">
        <is>
          <t>净现值(NPV 10%)</t>
        </is>
      </c>
      <c r="B11" s="2" t="inlineStr">
        <is>
          <t>1423567元</t>
        </is>
      </c>
      <c r="C11" s="2">
        <f>NPV(10% 现金流)+初始投资</f>
        <v/>
      </c>
      <c r="D11" s="2" t="inlineStr">
        <is>
          <t>折现率10%</t>
        </is>
      </c>
    </row>
    <row r="12"/>
    <row r="13">
      <c r="A13" s="2" t="inlineStr">
        <is>
          <t>盈亏平衡分析</t>
        </is>
      </c>
    </row>
    <row r="14">
      <c r="A14" s="2" t="inlineStr">
        <is>
          <t>项目</t>
        </is>
      </c>
      <c r="B14" s="2" t="inlineStr">
        <is>
          <t>数值</t>
        </is>
      </c>
      <c r="C14" s="2" t="inlineStr">
        <is>
          <t>计算</t>
        </is>
      </c>
    </row>
    <row r="15">
      <c r="A15" s="2" t="inlineStr">
        <is>
          <t>固定成本（年）</t>
        </is>
      </c>
      <c r="B15" s="2" t="inlineStr">
        <is>
          <t>1170000元</t>
        </is>
      </c>
      <c r="C15" s="2" t="inlineStr">
        <is>
          <t>人工+部分能源+其他固定</t>
        </is>
      </c>
    </row>
    <row r="16">
      <c r="A16" s="2" t="inlineStr">
        <is>
          <t>变动成本率</t>
        </is>
      </c>
      <c r="B16" s="2" t="inlineStr">
        <is>
          <t>15%</t>
        </is>
      </c>
      <c r="C16" s="2" t="inlineStr">
        <is>
          <t>占收入比例</t>
        </is>
      </c>
    </row>
    <row r="17">
      <c r="A17" s="2" t="inlineStr">
        <is>
          <t>盈亏平衡收入</t>
        </is>
      </c>
      <c r="B17" s="2" t="inlineStr">
        <is>
          <t>1376471元</t>
        </is>
      </c>
      <c r="C17" s="2">
        <f>固定成本/(1-变动成本率)</f>
        <v/>
      </c>
    </row>
    <row r="18">
      <c r="A18" s="2" t="inlineStr">
        <is>
          <t>盈亏平衡入住率</t>
        </is>
      </c>
      <c r="B18" s="2" t="inlineStr">
        <is>
          <t>21%</t>
        </is>
      </c>
      <c r="C18" s="2">
        <f>盈亏平衡收入/满房收入</f>
        <v/>
      </c>
    </row>
    <row r="19">
      <c r="A19" s="2" t="inlineStr">
        <is>
          <t>安全边际</t>
        </is>
      </c>
      <c r="B19" s="2" t="inlineStr">
        <is>
          <t>58%</t>
        </is>
      </c>
      <c r="C19" s="2">
        <f>(实际收入-盈亏平衡收入)/实际收入</f>
        <v/>
      </c>
    </row>
    <row r="20"/>
    <row r="21">
      <c r="A21" s="2" t="inlineStr">
        <is>
          <t>满房收入计算</t>
        </is>
      </c>
    </row>
    <row r="22">
      <c r="A22" s="2" t="inlineStr">
        <is>
          <t>项目</t>
        </is>
      </c>
      <c r="B22" s="2" t="inlineStr">
        <is>
          <t>金额(元)</t>
        </is>
      </c>
      <c r="C22" s="2" t="inlineStr">
        <is>
          <t>计算公式</t>
        </is>
      </c>
    </row>
    <row r="23">
      <c r="A23" s="2" t="inlineStr">
        <is>
          <t>标准间满房收入</t>
        </is>
      </c>
      <c r="B23" s="2" t="inlineStr">
        <is>
          <t>1277333</t>
        </is>
      </c>
      <c r="C23" s="2">
        <f>(580+780+1280)/3×4间×365天</f>
        <v/>
      </c>
    </row>
    <row r="24">
      <c r="A24" s="2" t="inlineStr">
        <is>
          <t>套房满房收入</t>
        </is>
      </c>
      <c r="B24" s="2" t="inlineStr">
        <is>
          <t>1879467</t>
        </is>
      </c>
      <c r="C24" s="2">
        <f>(880+1180+1880)/3×4间×365天</f>
        <v/>
      </c>
    </row>
    <row r="25">
      <c r="A25" s="2" t="inlineStr">
        <is>
          <t>附加服务满房收入</t>
        </is>
      </c>
      <c r="B25" s="2" t="inlineStr">
        <is>
          <t>1894080</t>
        </is>
      </c>
      <c r="C25" s="2">
        <f>(1277333+1879467)×60%</f>
        <v/>
      </c>
    </row>
    <row r="26">
      <c r="A26" s="2" t="inlineStr">
        <is>
          <t>满房年收入</t>
        </is>
      </c>
      <c r="B26" s="2" t="inlineStr">
        <is>
          <t>5050880</t>
        </is>
      </c>
      <c r="C2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  <col width="7" customWidth="1" min="4" max="4"/>
    <col width="8" customWidth="1" min="5" max="5"/>
    <col width="8" customWidth="1" min="6" max="6"/>
  </cols>
  <sheetData>
    <row r="1">
      <c r="A1" s="1" t="inlineStr">
        <is>
          <t>工作表7：敏感性分析</t>
        </is>
      </c>
    </row>
    <row r="2"/>
    <row r="3">
      <c r="A3" s="2" t="inlineStr">
        <is>
          <t>A. 入住率敏感性（其他条件不变）</t>
        </is>
      </c>
    </row>
    <row r="4">
      <c r="A4" s="2" t="inlineStr">
        <is>
          <t>入住率变化</t>
        </is>
      </c>
      <c r="B4" s="2" t="inlineStr">
        <is>
          <t>年收入(万元)</t>
        </is>
      </c>
      <c r="C4" s="2" t="inlineStr">
        <is>
          <t>年净利润(万元)</t>
        </is>
      </c>
      <c r="D4" s="2" t="inlineStr">
        <is>
          <t>ROI</t>
        </is>
      </c>
      <c r="E4" s="2" t="inlineStr">
        <is>
          <t>回收期(年)</t>
        </is>
      </c>
    </row>
    <row r="5">
      <c r="A5" s="2" t="inlineStr">
        <is>
          <t>-20%</t>
        </is>
      </c>
      <c r="B5" s="2" t="inlineStr">
        <is>
          <t>261</t>
        </is>
      </c>
      <c r="C5" s="2" t="inlineStr">
        <is>
          <t>45</t>
        </is>
      </c>
      <c r="D5" s="2" t="inlineStr">
        <is>
          <t>5.2%</t>
        </is>
      </c>
      <c r="E5" s="2" t="inlineStr">
        <is>
          <t>19.1</t>
        </is>
      </c>
    </row>
    <row r="6">
      <c r="A6" s="2" t="inlineStr">
        <is>
          <t>-10%</t>
        </is>
      </c>
      <c r="B6" s="2" t="inlineStr">
        <is>
          <t>293</t>
        </is>
      </c>
      <c r="C6" s="2" t="inlineStr">
        <is>
          <t>78</t>
        </is>
      </c>
      <c r="D6" s="2" t="inlineStr">
        <is>
          <t>9.1%</t>
        </is>
      </c>
      <c r="E6" s="2" t="inlineStr">
        <is>
          <t>11.0</t>
        </is>
      </c>
    </row>
    <row r="7">
      <c r="A7" s="2" t="inlineStr">
        <is>
          <t>基准(0%)</t>
        </is>
      </c>
      <c r="B7" s="2" t="inlineStr">
        <is>
          <t>326</t>
        </is>
      </c>
      <c r="C7" s="2" t="inlineStr">
        <is>
          <t>112</t>
        </is>
      </c>
      <c r="D7" s="2" t="inlineStr">
        <is>
          <t>13.0%</t>
        </is>
      </c>
      <c r="E7" s="2" t="inlineStr">
        <is>
          <t>7.7</t>
        </is>
      </c>
    </row>
    <row r="8">
      <c r="A8" s="2" t="inlineStr">
        <is>
          <t>+10%</t>
        </is>
      </c>
      <c r="B8" s="2" t="inlineStr">
        <is>
          <t>358</t>
        </is>
      </c>
      <c r="C8" s="2" t="inlineStr">
        <is>
          <t>145</t>
        </is>
      </c>
      <c r="D8" s="2" t="inlineStr">
        <is>
          <t>16.9%</t>
        </is>
      </c>
      <c r="E8" s="2" t="inlineStr">
        <is>
          <t>5.9</t>
        </is>
      </c>
    </row>
    <row r="9">
      <c r="A9" s="2" t="inlineStr">
        <is>
          <t>+20%</t>
        </is>
      </c>
      <c r="B9" s="2" t="inlineStr">
        <is>
          <t>391</t>
        </is>
      </c>
      <c r="C9" s="2" t="inlineStr">
        <is>
          <t>179</t>
        </is>
      </c>
      <c r="D9" s="2" t="inlineStr">
        <is>
          <t>20.8%</t>
        </is>
      </c>
      <c r="E9" s="2" t="inlineStr">
        <is>
          <t>4.8</t>
        </is>
      </c>
    </row>
    <row r="10"/>
    <row r="11">
      <c r="A11" s="2" t="inlineStr">
        <is>
          <t>B. 房价敏感性（其他条件不变）</t>
        </is>
      </c>
    </row>
    <row r="12">
      <c r="A12" s="2" t="inlineStr">
        <is>
          <t>房价变化</t>
        </is>
      </c>
      <c r="B12" s="2" t="inlineStr">
        <is>
          <t>年收入(万元)</t>
        </is>
      </c>
      <c r="C12" s="2" t="inlineStr">
        <is>
          <t>年净利润(万元)</t>
        </is>
      </c>
      <c r="D12" s="2" t="inlineStr">
        <is>
          <t>ROI</t>
        </is>
      </c>
      <c r="E12" s="2" t="inlineStr">
        <is>
          <t>回收期(年)</t>
        </is>
      </c>
    </row>
    <row r="13">
      <c r="A13" s="2" t="inlineStr">
        <is>
          <t>-20%</t>
        </is>
      </c>
      <c r="B13" s="2" t="inlineStr">
        <is>
          <t>261</t>
        </is>
      </c>
      <c r="C13" s="2" t="inlineStr">
        <is>
          <t>45</t>
        </is>
      </c>
      <c r="D13" s="2" t="inlineStr">
        <is>
          <t>5.2%</t>
        </is>
      </c>
      <c r="E13" s="2" t="inlineStr">
        <is>
          <t>19.1</t>
        </is>
      </c>
    </row>
    <row r="14">
      <c r="A14" s="2" t="inlineStr">
        <is>
          <t>-10%</t>
        </is>
      </c>
      <c r="B14" s="2" t="inlineStr">
        <is>
          <t>293</t>
        </is>
      </c>
      <c r="C14" s="2" t="inlineStr">
        <is>
          <t>78</t>
        </is>
      </c>
      <c r="D14" s="2" t="inlineStr">
        <is>
          <t>9.1%</t>
        </is>
      </c>
      <c r="E14" s="2" t="inlineStr">
        <is>
          <t>11.0</t>
        </is>
      </c>
    </row>
    <row r="15">
      <c r="A15" s="2" t="inlineStr">
        <is>
          <t>基准(0%)</t>
        </is>
      </c>
      <c r="B15" s="2" t="inlineStr">
        <is>
          <t>326</t>
        </is>
      </c>
      <c r="C15" s="2" t="inlineStr">
        <is>
          <t>112</t>
        </is>
      </c>
      <c r="D15" s="2" t="inlineStr">
        <is>
          <t>13.0%</t>
        </is>
      </c>
      <c r="E15" s="2" t="inlineStr">
        <is>
          <t>7.7</t>
        </is>
      </c>
    </row>
    <row r="16">
      <c r="A16" s="2" t="inlineStr">
        <is>
          <t>+10%</t>
        </is>
      </c>
      <c r="B16" s="2" t="inlineStr">
        <is>
          <t>358</t>
        </is>
      </c>
      <c r="C16" s="2" t="inlineStr">
        <is>
          <t>145</t>
        </is>
      </c>
      <c r="D16" s="2" t="inlineStr">
        <is>
          <t>16.9%</t>
        </is>
      </c>
      <c r="E16" s="2" t="inlineStr">
        <is>
          <t>5.9</t>
        </is>
      </c>
    </row>
    <row r="17">
      <c r="A17" s="2" t="inlineStr">
        <is>
          <t>+20%</t>
        </is>
      </c>
      <c r="B17" s="2" t="inlineStr">
        <is>
          <t>391</t>
        </is>
      </c>
      <c r="C17" s="2" t="inlineStr">
        <is>
          <t>179</t>
        </is>
      </c>
      <c r="D17" s="2" t="inlineStr">
        <is>
          <t>20.8%</t>
        </is>
      </c>
      <c r="E17" s="2" t="inlineStr">
        <is>
          <t>4.8</t>
        </is>
      </c>
    </row>
    <row r="18"/>
    <row r="19">
      <c r="A19" s="2" t="inlineStr">
        <is>
          <t>C. 运营成本敏感性（其他条件不变）</t>
        </is>
      </c>
    </row>
    <row r="20">
      <c r="A20" s="2" t="inlineStr">
        <is>
          <t>成本变化</t>
        </is>
      </c>
      <c r="B20" s="2" t="inlineStr">
        <is>
          <t>年收入(万元)</t>
        </is>
      </c>
      <c r="C20" s="2" t="inlineStr">
        <is>
          <t>年净利润(万元)</t>
        </is>
      </c>
      <c r="D20" s="2" t="inlineStr">
        <is>
          <t>ROI</t>
        </is>
      </c>
      <c r="E20" s="2" t="inlineStr">
        <is>
          <t>回收期(年)</t>
        </is>
      </c>
    </row>
    <row r="21">
      <c r="A21" s="2" t="inlineStr">
        <is>
          <t>+20%</t>
        </is>
      </c>
      <c r="B21" s="2" t="inlineStr">
        <is>
          <t>326</t>
        </is>
      </c>
      <c r="C21" s="2" t="inlineStr">
        <is>
          <t>81</t>
        </is>
      </c>
      <c r="D21" s="2" t="inlineStr">
        <is>
          <t>9.4%</t>
        </is>
      </c>
      <c r="E21" s="2" t="inlineStr">
        <is>
          <t>10.6</t>
        </is>
      </c>
    </row>
    <row r="22">
      <c r="A22" s="2" t="inlineStr">
        <is>
          <t>+10%</t>
        </is>
      </c>
      <c r="B22" s="2" t="inlineStr">
        <is>
          <t>326</t>
        </is>
      </c>
      <c r="C22" s="2" t="inlineStr">
        <is>
          <t>96</t>
        </is>
      </c>
      <c r="D22" s="2" t="inlineStr">
        <is>
          <t>11.2%</t>
        </is>
      </c>
      <c r="E22" s="2" t="inlineStr">
        <is>
          <t>8.9</t>
        </is>
      </c>
    </row>
    <row r="23">
      <c r="A23" s="2" t="inlineStr">
        <is>
          <t>基准(0%)</t>
        </is>
      </c>
      <c r="B23" s="2" t="inlineStr">
        <is>
          <t>326</t>
        </is>
      </c>
      <c r="C23" s="2" t="inlineStr">
        <is>
          <t>112</t>
        </is>
      </c>
      <c r="D23" s="2" t="inlineStr">
        <is>
          <t>13.0%</t>
        </is>
      </c>
      <c r="E23" s="2" t="inlineStr">
        <is>
          <t>7.7</t>
        </is>
      </c>
    </row>
    <row r="24">
      <c r="A24" s="2" t="inlineStr">
        <is>
          <t>-10%</t>
        </is>
      </c>
      <c r="B24" s="2" t="inlineStr">
        <is>
          <t>326</t>
        </is>
      </c>
      <c r="C24" s="2" t="inlineStr">
        <is>
          <t>127</t>
        </is>
      </c>
      <c r="D24" s="2" t="inlineStr">
        <is>
          <t>14.8%</t>
        </is>
      </c>
      <c r="E24" s="2" t="inlineStr">
        <is>
          <t>6.8</t>
        </is>
      </c>
    </row>
    <row r="25">
      <c r="A25" s="2" t="inlineStr">
        <is>
          <t>-20%</t>
        </is>
      </c>
      <c r="B25" s="2" t="inlineStr">
        <is>
          <t>326</t>
        </is>
      </c>
      <c r="C25" s="2" t="inlineStr">
        <is>
          <t>143</t>
        </is>
      </c>
      <c r="D25" s="2" t="inlineStr">
        <is>
          <t>16.6%</t>
        </is>
      </c>
      <c r="E25" s="2" t="inlineStr">
        <is>
          <t>6.0</t>
        </is>
      </c>
    </row>
    <row r="26"/>
    <row r="27">
      <c r="A27" s="2" t="inlineStr">
        <is>
          <t>D. 双因素敏感性矩阵（年净利润万元）</t>
        </is>
      </c>
    </row>
    <row r="28">
      <c r="A28" s="2" t="inlineStr">
        <is>
          <t>入住率\房价</t>
        </is>
      </c>
      <c r="B28" s="2" t="inlineStr">
        <is>
          <t>房价-20%</t>
        </is>
      </c>
      <c r="C28" s="2" t="inlineStr">
        <is>
          <t>房价-10%</t>
        </is>
      </c>
      <c r="D28" s="2" t="inlineStr">
        <is>
          <t>房价基准</t>
        </is>
      </c>
      <c r="E28" s="2" t="inlineStr">
        <is>
          <t>房价+10%</t>
        </is>
      </c>
      <c r="F28" s="2" t="inlineStr">
        <is>
          <t>房价+20%</t>
        </is>
      </c>
    </row>
    <row r="29">
      <c r="A29" s="2" t="inlineStr">
        <is>
          <t>入住率-20%</t>
        </is>
      </c>
      <c r="B29" s="2" t="inlineStr">
        <is>
          <t>14</t>
        </is>
      </c>
      <c r="C29" s="2" t="inlineStr">
        <is>
          <t>30</t>
        </is>
      </c>
      <c r="D29" s="2" t="inlineStr">
        <is>
          <t>45</t>
        </is>
      </c>
      <c r="E29" s="2" t="inlineStr">
        <is>
          <t>61</t>
        </is>
      </c>
      <c r="F29" s="2" t="inlineStr">
        <is>
          <t>76</t>
        </is>
      </c>
    </row>
    <row r="30">
      <c r="A30" s="2" t="inlineStr">
        <is>
          <t>入住率-10%</t>
        </is>
      </c>
      <c r="B30" s="2" t="inlineStr">
        <is>
          <t>46</t>
        </is>
      </c>
      <c r="C30" s="2" t="inlineStr">
        <is>
          <t>62</t>
        </is>
      </c>
      <c r="D30" s="2" t="inlineStr">
        <is>
          <t>78</t>
        </is>
      </c>
      <c r="E30" s="2" t="inlineStr">
        <is>
          <t>95</t>
        </is>
      </c>
      <c r="F30" s="2" t="inlineStr">
        <is>
          <t>111</t>
        </is>
      </c>
    </row>
    <row r="31">
      <c r="A31" s="2" t="inlineStr">
        <is>
          <t>入住率基准</t>
        </is>
      </c>
      <c r="B31" s="2" t="inlineStr">
        <is>
          <t>79</t>
        </is>
      </c>
      <c r="C31" s="2" t="inlineStr">
        <is>
          <t>95</t>
        </is>
      </c>
      <c r="D31" s="2" t="inlineStr">
        <is>
          <t>112</t>
        </is>
      </c>
      <c r="E31" s="2" t="inlineStr">
        <is>
          <t>128</t>
        </is>
      </c>
      <c r="F31" s="2" t="inlineStr">
        <is>
          <t>145</t>
        </is>
      </c>
    </row>
    <row r="32">
      <c r="A32" s="2" t="inlineStr">
        <is>
          <t>入住率+10%</t>
        </is>
      </c>
      <c r="B32" s="2" t="inlineStr">
        <is>
          <t>111</t>
        </is>
      </c>
      <c r="C32" s="2" t="inlineStr">
        <is>
          <t>128</t>
        </is>
      </c>
      <c r="D32" s="2" t="inlineStr">
        <is>
          <t>145</t>
        </is>
      </c>
      <c r="E32" s="2" t="inlineStr">
        <is>
          <t>162</t>
        </is>
      </c>
      <c r="F32" s="2" t="inlineStr">
        <is>
          <t>179</t>
        </is>
      </c>
    </row>
    <row r="33">
      <c r="A33" s="2" t="inlineStr">
        <is>
          <t>入住率+20%</t>
        </is>
      </c>
      <c r="B33" s="2" t="inlineStr">
        <is>
          <t>144</t>
        </is>
      </c>
      <c r="C33" s="2" t="inlineStr">
        <is>
          <t>161</t>
        </is>
      </c>
      <c r="D33" s="2" t="inlineStr">
        <is>
          <t>179</t>
        </is>
      </c>
      <c r="E33" s="2" t="inlineStr">
        <is>
          <t>196</t>
        </is>
      </c>
      <c r="F33" s="2" t="inlineStr">
        <is>
          <t>213</t>
        </is>
      </c>
    </row>
    <row r="34"/>
    <row r="35">
      <c r="A35" s="2" t="inlineStr">
        <is>
          <t>颜色标注建议</t>
        </is>
      </c>
    </row>
    <row r="36">
      <c r="A36" s="2" t="inlineStr">
        <is>
          <t>风险等级</t>
        </is>
      </c>
      <c r="B36" s="2" t="inlineStr">
        <is>
          <t>净利润范围</t>
        </is>
      </c>
      <c r="C36" s="2" t="inlineStr">
        <is>
          <t>颜色</t>
        </is>
      </c>
    </row>
    <row r="37">
      <c r="A37" s="2" t="inlineStr">
        <is>
          <t>高风险</t>
        </is>
      </c>
      <c r="B37" s="2" t="inlineStr">
        <is>
          <t>&lt;50万</t>
        </is>
      </c>
      <c r="C37" s="2" t="inlineStr">
        <is>
          <t>红色</t>
        </is>
      </c>
    </row>
    <row r="38">
      <c r="A38" s="2" t="inlineStr">
        <is>
          <t>中等风险</t>
        </is>
      </c>
      <c r="B38" s="2" t="inlineStr">
        <is>
          <t>50-100万</t>
        </is>
      </c>
      <c r="C38" s="2" t="inlineStr">
        <is>
          <t>黄色</t>
        </is>
      </c>
    </row>
    <row r="39">
      <c r="A39" s="2" t="inlineStr">
        <is>
          <t>安全区</t>
        </is>
      </c>
      <c r="B39" s="2" t="inlineStr">
        <is>
          <t>&gt;100万</t>
        </is>
      </c>
      <c r="C39" s="2" t="inlineStr">
        <is>
          <t>绿色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2026-04-29T10:30:10Z</dcterms:created>
  <dcterms:modified xmlns:dcterms="http://purl.org/dc/terms/" xmlns:xsi="http://www.w3.org/2001/XMLSchema-instance" xsi:type="dcterms:W3CDTF">2026-04-29T10:30:10Z</dcterms:modified>
</cp:coreProperties>
</file>